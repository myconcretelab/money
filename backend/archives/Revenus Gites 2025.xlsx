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sine" sheetId="1" r:id="rId3"/>
    <sheet state="visible" name="Gree" sheetId="2" r:id="rId4"/>
    <sheet state="visible" name="Edmond" sheetId="3" r:id="rId5"/>
    <sheet state="visible" name="Liberté" sheetId="4" r:id="rId6"/>
    <sheet state="visible" name="Frais" sheetId="5" r:id="rId7"/>
    <sheet state="visible" name="Vacances" sheetId="6" r:id="rId8"/>
  </sheets>
  <definedNames>
    <definedName name="Liberté">#REF!</definedName>
    <definedName name="Gree">#REF!</definedName>
    <definedName name="frais_incomp">#REF!</definedName>
    <definedName name="frais_comp">#REF!</definedName>
    <definedName name="Edmond">#REF!</definedName>
    <definedName name="Frais_edmond">#REF!</definedName>
    <definedName name="frais_gree">#REF!</definedName>
    <definedName name="frais_phonsine">#REF!</definedName>
    <definedName name="frais_total">#REF!</definedName>
    <definedName name="Resultats">#REF!</definedName>
    <definedName name="frais_liberté">#REF!</definedName>
    <definedName name="Phonsine">#REF!</definedName>
    <definedName name="frais_bernadette">#REF!</definedName>
    <definedName name="info_nui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Cocher pour rafraîchir le planning avec la période et les données à jour.</t>
      </text>
    </comment>
    <comment authorId="0" ref="F3">
      <text>
        <t xml:space="preserve">Gîte : Phonsine
Client : Chevy
Téléphone : 607732059
Arrivée : 17/10/2025
Départ : 22/10/2025</t>
      </text>
    </comment>
    <comment authorId="0" ref="H5">
      <text>
        <t xml:space="preserve">Gîte : Phonsine
Client : Julien Belfort
Téléphone : —
Arrivée : 21/12/2025
Départ : 25/12/2025</t>
      </text>
    </comment>
    <comment authorId="0" ref="G6">
      <text>
        <t xml:space="preserve">Gîte : Gree
Client : Sigrid
Téléphone : —
Arrivée : 20/12/2025
Départ : 28/12/2025</t>
      </text>
    </comment>
    <comment authorId="0" ref="H7">
      <text>
        <t xml:space="preserve">Gîte : Edmond
Client : Stephane &amp; Julien
Téléphone : —
Arrivée : 21/12/2025
Départ : 25/12/2025</t>
      </text>
    </comment>
    <comment authorId="0" ref="G8">
      <text>
        <t xml:space="preserve">Gîte : Liberté
Client : Sarah Louveau
Téléphone : —
Arrivée : 19/12/2025
Départ : 21/12/2025</t>
      </text>
    </comment>
    <comment authorId="0" ref="B11">
      <text>
        <t xml:space="preserve">Gîte : Phonsine
Client : Julien Belfort
Téléphone : —
Arrivée : 21/12/2025
Départ : 25/12/2025</t>
      </text>
    </comment>
    <comment authorId="0" ref="B12">
      <text>
        <t xml:space="preserve">Gîte : Gree
Client : Sigrid
Téléphone : —
Arrivée : 20/12/2025
Départ : 28/12/2025</t>
      </text>
    </comment>
    <comment authorId="0" ref="B13">
      <text>
        <t xml:space="preserve">Gîte : Edmond
Client : Stephane &amp; Julien
Téléphone : —
Arrivée : 21/12/2025
Départ : 25/12/2025</t>
      </text>
    </comment>
    <comment authorId="0" ref="E13">
      <text>
        <t xml:space="preserve">Gîte : Edmond
Client : Laurent Gaillard
Téléphone : —
Arrivée : 25/12/2025
Départ : 28/12/2025</t>
      </text>
    </comment>
  </commentList>
</comments>
</file>

<file path=xl/sharedStrings.xml><?xml version="1.0" encoding="utf-8"?>
<sst xmlns="http://schemas.openxmlformats.org/spreadsheetml/2006/main" count="960" uniqueCount="406">
  <si>
    <t>Nom</t>
  </si>
  <si>
    <t>Debut</t>
  </si>
  <si>
    <t>Fin</t>
  </si>
  <si>
    <t>Mois</t>
  </si>
  <si>
    <t>Nb Nuits</t>
  </si>
  <si>
    <t>Nb Adultes</t>
  </si>
  <si>
    <t>PRix/nuits</t>
  </si>
  <si>
    <t>Revenus</t>
  </si>
  <si>
    <t>Paiement</t>
  </si>
  <si>
    <t>Commentaires</t>
  </si>
  <si>
    <t>Tel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</si>
  <si>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</si>
  <si>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</si>
  <si>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</si>
  <si>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</si>
  <si>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</si>
  <si>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</si>
  <si>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</si>
  <si>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</si>
  <si>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</si>
  <si>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Colonne 12</t>
  </si>
  <si>
    <t>Colonne 13</t>
  </si>
  <si>
    <t>Colonne 14</t>
  </si>
  <si>
    <t>Colonne 15</t>
  </si>
  <si>
    <t>Maxime</t>
  </si>
  <si>
    <t>Airbnb</t>
  </si>
  <si>
    <t>Ouvriers</t>
  </si>
  <si>
    <t>Espèces</t>
  </si>
  <si>
    <t>Baladron</t>
  </si>
  <si>
    <t>Virginie</t>
  </si>
  <si>
    <t>Keny</t>
  </si>
  <si>
    <t>Oumar</t>
  </si>
  <si>
    <t>Charlotte</t>
  </si>
  <si>
    <t>Chèque</t>
  </si>
  <si>
    <t>Zeliko</t>
  </si>
  <si>
    <t>Helaine</t>
  </si>
  <si>
    <t>Mme Thierry</t>
  </si>
  <si>
    <t>Anne</t>
  </si>
  <si>
    <t>Karine</t>
  </si>
  <si>
    <t>Sandra</t>
  </si>
  <si>
    <t>2025-09-04T12:40:18.292Z</t>
  </si>
  <si>
    <t>Benoit</t>
  </si>
  <si>
    <t>Mecoworks</t>
  </si>
  <si>
    <t>Mathieu</t>
  </si>
  <si>
    <t>Grégory</t>
  </si>
  <si>
    <t>Charly</t>
  </si>
  <si>
    <t>Barbry</t>
  </si>
  <si>
    <t>Mari</t>
  </si>
  <si>
    <t>Marion</t>
  </si>
  <si>
    <t>Johanna</t>
  </si>
  <si>
    <t>Sabrine</t>
  </si>
  <si>
    <t>Aurélie</t>
  </si>
  <si>
    <t>Loca</t>
  </si>
  <si>
    <t>Adrien</t>
  </si>
  <si>
    <t>Julien</t>
  </si>
  <si>
    <t>Erwan</t>
  </si>
  <si>
    <t>Watelier</t>
  </si>
  <si>
    <t>Nicolas</t>
  </si>
  <si>
    <t>Céline</t>
  </si>
  <si>
    <t>Coralie (mariage)</t>
  </si>
  <si>
    <t>Muriel</t>
  </si>
  <si>
    <t>Pascal</t>
  </si>
  <si>
    <t>Véro loca</t>
  </si>
  <si>
    <t>Armelle</t>
  </si>
  <si>
    <t>Marie Motais</t>
  </si>
  <si>
    <t>Virement</t>
  </si>
  <si>
    <t>Madeleine</t>
  </si>
  <si>
    <t>Doumouilla</t>
  </si>
  <si>
    <t>Victor</t>
  </si>
  <si>
    <t>Marie France</t>
  </si>
  <si>
    <t>Sina</t>
  </si>
  <si>
    <t>Civic</t>
  </si>
  <si>
    <t>Marie Pierre</t>
  </si>
  <si>
    <t>Pillot</t>
  </si>
  <si>
    <t>Cavallero</t>
  </si>
  <si>
    <t>Nathalie</t>
  </si>
  <si>
    <t>Agi</t>
  </si>
  <si>
    <t>Anaïs</t>
  </si>
  <si>
    <t>Bastien Juillet</t>
  </si>
  <si>
    <t>2025-08-31T11:53:48.259Z</t>
  </si>
  <si>
    <t>Alice</t>
  </si>
  <si>
    <t>Daniel Riou</t>
  </si>
  <si>
    <t>Bon cadeau - Daniel RIOU Pour 2 nuits</t>
  </si>
  <si>
    <t xml:space="preserve"> +33 6 40 83 29 52</t>
  </si>
  <si>
    <t>Marie Motais Mail du 16-01-25</t>
  </si>
  <si>
    <t>Jérémy</t>
  </si>
  <si>
    <t>Mme Soares</t>
  </si>
  <si>
    <t>Nom/prénom: Mme Soares Téléphone: 06 12 54 08 59 Draps: non</t>
  </si>
  <si>
    <t xml:space="preserve"> 06 12 54 08 59</t>
  </si>
  <si>
    <t>Mélina Beuzelin</t>
  </si>
  <si>
    <t>Tatiana</t>
  </si>
  <si>
    <t>Tatiana et Nicolas  /Draps et serviettes</t>
  </si>
  <si>
    <t>Damien Guillemot</t>
  </si>
  <si>
    <t>2025-10-15T15:36:00.051Z</t>
  </si>
  <si>
    <t>Delphine</t>
  </si>
  <si>
    <t>Chevy</t>
  </si>
  <si>
    <t>N: Chevy T: 06 07 73 20 59 Lits simples: 0 Lits doubles: 0</t>
  </si>
  <si>
    <t>Sven &amp; Justine</t>
  </si>
  <si>
    <t>Sven et Justine Et 2 filles 2 et 4 ans svenichou@me.com Resa par mail</t>
  </si>
  <si>
    <t>2025-10-04T19:40:50.411Z</t>
  </si>
  <si>
    <t>Léa</t>
  </si>
  <si>
    <t>Léa Roy - 06 98 94 73 59 Par mail : lea.roy1311@gmail.com 2 ad et 1 enf 4 ans 75€x4 Prend ses draps et fera ménage Virement le 14-10</t>
  </si>
  <si>
    <t>06 98 94 73 59</t>
  </si>
  <si>
    <t>Bruno</t>
  </si>
  <si>
    <t>RIGAUX Bruno 0609644781 Acompte de 20% à régler avant le 01/09 contrat envoyé le 13-08</t>
  </si>
  <si>
    <t>2025-11-20T07:32:04.794Z</t>
  </si>
  <si>
    <t>Estelle Loock</t>
  </si>
  <si>
    <t>2025-12-16T14:59:28.946Z</t>
  </si>
  <si>
    <t>GDF</t>
  </si>
  <si>
    <t>Gites de France</t>
  </si>
  <si>
    <t>Julien Belfort</t>
  </si>
  <si>
    <t>Abritel</t>
  </si>
  <si>
    <t>ID insertion</t>
  </si>
  <si>
    <t>Colonne 16</t>
  </si>
  <si>
    <t>Brice</t>
  </si>
  <si>
    <t>Thomas</t>
  </si>
  <si>
    <t>Tahir</t>
  </si>
  <si>
    <t>Elodie</t>
  </si>
  <si>
    <t>Alicia</t>
  </si>
  <si>
    <t>Maeva</t>
  </si>
  <si>
    <t>LEa</t>
  </si>
  <si>
    <t>Olivier</t>
  </si>
  <si>
    <t>Fanny</t>
  </si>
  <si>
    <t>Delahaye</t>
  </si>
  <si>
    <t>LEsan</t>
  </si>
  <si>
    <t>baudry</t>
  </si>
  <si>
    <t>olivier</t>
  </si>
  <si>
    <t>travaux</t>
  </si>
  <si>
    <t>Mary</t>
  </si>
  <si>
    <t>Seb</t>
  </si>
  <si>
    <t>Carine</t>
  </si>
  <si>
    <t>Eliene</t>
  </si>
  <si>
    <t>Sigrid</t>
  </si>
  <si>
    <t>HomeEchange</t>
  </si>
  <si>
    <t>HomeExchange</t>
  </si>
  <si>
    <t>Trubert</t>
  </si>
  <si>
    <t>Aurélien</t>
  </si>
  <si>
    <t>Marie</t>
  </si>
  <si>
    <t>Valdenaire</t>
  </si>
  <si>
    <t>Bérangère</t>
  </si>
  <si>
    <t>Seb en résidence</t>
  </si>
  <si>
    <t>Kelly virement</t>
  </si>
  <si>
    <t>Lionel</t>
  </si>
  <si>
    <t>ANCV et chèque</t>
  </si>
  <si>
    <t>Thuillier</t>
  </si>
  <si>
    <t>Mélanie</t>
  </si>
  <si>
    <t>Frederic</t>
  </si>
  <si>
    <t>Poiroux</t>
  </si>
  <si>
    <t>Corinne</t>
  </si>
  <si>
    <t>Michel</t>
  </si>
  <si>
    <t>Sbsa</t>
  </si>
  <si>
    <t>Pauline</t>
  </si>
  <si>
    <t>Jean Marie</t>
  </si>
  <si>
    <t>Etienne</t>
  </si>
  <si>
    <t>Deborah</t>
  </si>
  <si>
    <t>Marlène</t>
  </si>
  <si>
    <t>Elsa</t>
  </si>
  <si>
    <t>Aline</t>
  </si>
  <si>
    <t>Patricia</t>
  </si>
  <si>
    <t>Poux</t>
  </si>
  <si>
    <t>Baptiste</t>
  </si>
  <si>
    <t>Ducrocq</t>
  </si>
  <si>
    <t>Valérie</t>
  </si>
  <si>
    <t>Valérie...</t>
  </si>
  <si>
    <t>Mme Lodiel</t>
  </si>
  <si>
    <t>MENAGE - DRAPS 2 lits Mme Lodiel - 0673449617 370€</t>
  </si>
  <si>
    <t>Martine</t>
  </si>
  <si>
    <t>Martine est là !</t>
  </si>
  <si>
    <t>Dylan Germain</t>
  </si>
  <si>
    <t>Celine Tisseur</t>
  </si>
  <si>
    <t>Jessica Perles</t>
  </si>
  <si>
    <t>Rayan Mejri</t>
  </si>
  <si>
    <t xml:space="preserve">Nina Lemasson </t>
  </si>
  <si>
    <t>N: Nina Lemasson  T: 06 83 79 91 49 Draps: oui</t>
  </si>
  <si>
    <t>0683799149</t>
  </si>
  <si>
    <t>Clothylde Lemoine</t>
  </si>
  <si>
    <t>Mylene</t>
  </si>
  <si>
    <t>Fauveau jessica</t>
  </si>
  <si>
    <t>N: Fauveau jessica T: 06 88 58 82 08 Draps: non</t>
  </si>
  <si>
    <t xml:space="preserve">06 88 58 82 08 </t>
  </si>
  <si>
    <t>Renata Janská</t>
  </si>
  <si>
    <t>Mme Desmarchelie</t>
  </si>
  <si>
    <t>Mme Desmarchelier - 0688587116 75€ Prend ses draps - forfait ménage 150€ + 40€ Arrivera vers 20h30</t>
  </si>
  <si>
    <t xml:space="preserve">0688587116 </t>
  </si>
  <si>
    <t>Milena</t>
  </si>
  <si>
    <t>Miléna +33 6 78 71 57 91</t>
  </si>
  <si>
    <t>Lionel Cathelin</t>
  </si>
  <si>
    <t>Elliott White</t>
  </si>
  <si>
    <t>Aurelie Sabatier</t>
  </si>
  <si>
    <t>Mathilde</t>
  </si>
  <si>
    <t>06 89 06 55 21 Mathilde Cassard fera ménage et prend ses draps résa par mail : prof.cassard@gmail.com</t>
  </si>
  <si>
    <t>Laura Tamberi</t>
  </si>
  <si>
    <t>Estelle Higel</t>
  </si>
  <si>
    <t>Florian Le Bras</t>
  </si>
  <si>
    <t>Noël Mathieu</t>
  </si>
  <si>
    <t>A définir</t>
  </si>
  <si>
    <t>Noël Mathieu Avec forfait draps - serviettes 30€ Arrivée 21h (vient en avion)</t>
  </si>
  <si>
    <t xml:space="preserve">+33 6 30 46 79 34 </t>
  </si>
  <si>
    <t>Justine Le Nôtre</t>
  </si>
  <si>
    <t>Sigrid DURA Est venu l'an dernier 70€/nuit soit 560€</t>
  </si>
  <si>
    <t>Christophe</t>
  </si>
  <si>
    <t>Title</t>
  </si>
  <si>
    <t>Colonne 12 2</t>
  </si>
  <si>
    <t>Lomig</t>
  </si>
  <si>
    <t>Bastien</t>
  </si>
  <si>
    <t>Teslime</t>
  </si>
  <si>
    <t>Camille</t>
  </si>
  <si>
    <t>Sylvie</t>
  </si>
  <si>
    <t>Matthias</t>
  </si>
  <si>
    <t>Lucie</t>
  </si>
  <si>
    <t>Benjamin</t>
  </si>
  <si>
    <t>Goefroy</t>
  </si>
  <si>
    <t>JC</t>
  </si>
  <si>
    <t>Noé</t>
  </si>
  <si>
    <t>Alexandre</t>
  </si>
  <si>
    <t>Nolwenn</t>
  </si>
  <si>
    <t>Caro</t>
  </si>
  <si>
    <t>KArine</t>
  </si>
  <si>
    <t>MAg</t>
  </si>
  <si>
    <t>ALice</t>
  </si>
  <si>
    <t>Francine</t>
  </si>
  <si>
    <t>Lina</t>
  </si>
  <si>
    <t>Chloé</t>
  </si>
  <si>
    <t>MAt</t>
  </si>
  <si>
    <t>MArie</t>
  </si>
  <si>
    <t>Audrey</t>
  </si>
  <si>
    <t xml:space="preserve">Lamia </t>
  </si>
  <si>
    <t>Laetitia</t>
  </si>
  <si>
    <t>ANCV</t>
  </si>
  <si>
    <t>Kilian</t>
  </si>
  <si>
    <t>Arnaud</t>
  </si>
  <si>
    <t>Lucille</t>
  </si>
  <si>
    <t>Coralie</t>
  </si>
  <si>
    <t>Gildas</t>
  </si>
  <si>
    <t>Elizabeth</t>
  </si>
  <si>
    <t>Pierre Louis</t>
  </si>
  <si>
    <t>Antoine</t>
  </si>
  <si>
    <t>Max</t>
  </si>
  <si>
    <t>Sahra</t>
  </si>
  <si>
    <t>Kareen</t>
  </si>
  <si>
    <t>Bon Kado</t>
  </si>
  <si>
    <t>Romaric</t>
  </si>
  <si>
    <t>Dorian</t>
  </si>
  <si>
    <t>Besche</t>
  </si>
  <si>
    <t>Stéphane (mariage)</t>
  </si>
  <si>
    <t>Kdo Stéphane</t>
  </si>
  <si>
    <t>Sébastien</t>
  </si>
  <si>
    <t>Soizic</t>
  </si>
  <si>
    <t>Claire</t>
  </si>
  <si>
    <t>Léna</t>
  </si>
  <si>
    <t>Dorothée</t>
  </si>
  <si>
    <t>Draps et ménage</t>
  </si>
  <si>
    <t>Estelle</t>
  </si>
  <si>
    <t>Noémie</t>
  </si>
  <si>
    <t>Nanie</t>
  </si>
  <si>
    <t>Susan</t>
  </si>
  <si>
    <t>Hanifa</t>
  </si>
  <si>
    <t>Manon</t>
  </si>
  <si>
    <t>TK</t>
  </si>
  <si>
    <t>Mickael</t>
  </si>
  <si>
    <t>François</t>
  </si>
  <si>
    <t>Angélique</t>
  </si>
  <si>
    <t>Noëlle</t>
  </si>
  <si>
    <t>Julie</t>
  </si>
  <si>
    <t>Laurence</t>
  </si>
  <si>
    <t>Perrine</t>
  </si>
  <si>
    <t>Yves</t>
  </si>
  <si>
    <t>Leclercq</t>
  </si>
  <si>
    <t>Mélaine Gautun</t>
  </si>
  <si>
    <t>Caroline Loste</t>
  </si>
  <si>
    <t>Sylvie Basanjon</t>
  </si>
  <si>
    <t>Suzanne</t>
  </si>
  <si>
    <t>N: Suzanne T: 33 69 81 76 41 Draps: non</t>
  </si>
  <si>
    <t>Cécile Méneur</t>
  </si>
  <si>
    <t>Barbara</t>
  </si>
  <si>
    <t>Ines</t>
  </si>
  <si>
    <t xml:space="preserve">Elisabeth Ponsin </t>
  </si>
  <si>
    <t>N: Elisabeth Ponsin  T: 06 66 39 64 57 Draps: non</t>
  </si>
  <si>
    <t>06 66 39 64 57</t>
  </si>
  <si>
    <t>Méghane</t>
  </si>
  <si>
    <t>Fanny Foglia</t>
  </si>
  <si>
    <t>Anais</t>
  </si>
  <si>
    <t>Caroline Jobard-Dublanchy</t>
  </si>
  <si>
    <t>Franck</t>
  </si>
  <si>
    <t>Cédille</t>
  </si>
  <si>
    <t>Mme Cédille Audrey 0631143397 100€ espèces Prend ses draps Arrivée vers 19-20h</t>
  </si>
  <si>
    <t>0631143397</t>
  </si>
  <si>
    <t>Noëlla Couthouis</t>
  </si>
  <si>
    <t>César</t>
  </si>
  <si>
    <t>Draps / serviettes / ménage Cesar et Marine Resa faite par la maman BénédicteTriviere 06 13 85 88 96 (Font journee cheval au centre équestre)</t>
  </si>
  <si>
    <t>06 13 85 88 96</t>
  </si>
  <si>
    <t>Antoine Le Soz</t>
  </si>
  <si>
    <t>Sina Karschöldgen</t>
  </si>
  <si>
    <t>Emma</t>
  </si>
  <si>
    <t>Emma MENGUY FOX A régler 110€ - même locataire que le Liberté</t>
  </si>
  <si>
    <t>Julien DACQUET +33 7 86 44 74 25 Par sms</t>
  </si>
  <si>
    <t>07 86 44 74 25</t>
  </si>
  <si>
    <t>Daphnée Montajault</t>
  </si>
  <si>
    <t>Jonathan Boungnaseng</t>
  </si>
  <si>
    <t>Meriem Barkat</t>
  </si>
  <si>
    <t>Enzo Rouaud</t>
  </si>
  <si>
    <t>Kévin Michel</t>
  </si>
  <si>
    <t>Lucas Cherriere</t>
  </si>
  <si>
    <t>Mattis Lengronne</t>
  </si>
  <si>
    <t>Coralie durand</t>
  </si>
  <si>
    <t>N: Coralie durand T: 06 62 86 63 35 Adultes: 1</t>
  </si>
  <si>
    <t>06 62 86 63 35</t>
  </si>
  <si>
    <t>Camille Dallot</t>
  </si>
  <si>
    <t>Stephane &amp; Julien</t>
  </si>
  <si>
    <t>Stephane et Julien (Maman regine)</t>
  </si>
  <si>
    <t>Laurent Gaillard</t>
  </si>
  <si>
    <t>Benjamin Meslet</t>
  </si>
  <si>
    <t>Le Campion</t>
  </si>
  <si>
    <t>Mariette</t>
  </si>
  <si>
    <t>Puthier</t>
  </si>
  <si>
    <t>Art Mael</t>
  </si>
  <si>
    <t>Jennifer</t>
  </si>
  <si>
    <t>Elisa</t>
  </si>
  <si>
    <t>Gatepaille</t>
  </si>
  <si>
    <t>Carlit</t>
  </si>
  <si>
    <t>Laure</t>
  </si>
  <si>
    <t>Ribault</t>
  </si>
  <si>
    <t>Charles</t>
  </si>
  <si>
    <t>Soazig</t>
  </si>
  <si>
    <t>Adeline</t>
  </si>
  <si>
    <t>Quillé</t>
  </si>
  <si>
    <t>Stéphane</t>
  </si>
  <si>
    <t>AnneLise</t>
  </si>
  <si>
    <t>Thiery</t>
  </si>
  <si>
    <t>Anne Sophie</t>
  </si>
  <si>
    <t>Juliette</t>
  </si>
  <si>
    <t>Aubry</t>
  </si>
  <si>
    <t>Leguiel</t>
  </si>
  <si>
    <t>Bouvier</t>
  </si>
  <si>
    <t>Haye Sylvie</t>
  </si>
  <si>
    <t>Geffray</t>
  </si>
  <si>
    <t>Cyril</t>
  </si>
  <si>
    <t>Hydro</t>
  </si>
  <si>
    <t>Morel</t>
  </si>
  <si>
    <t>Florent</t>
  </si>
  <si>
    <t>Laurine</t>
  </si>
  <si>
    <t>Huynh</t>
  </si>
  <si>
    <t>pas déclaré taxe séjour (-28 nuitées)</t>
  </si>
  <si>
    <t>Adesnos</t>
  </si>
  <si>
    <t>Tomasz</t>
  </si>
  <si>
    <t>Katy</t>
  </si>
  <si>
    <t>Emeraud</t>
  </si>
  <si>
    <t>70 ans belle mère a_emeraud@yahoo.co.uk 15 pers. 673€ + 280€ pour le jeudi soir (espèces) 07 88 18 35 04</t>
  </si>
  <si>
    <t>Anne Lise</t>
  </si>
  <si>
    <t>Anne Lise Menet Contrat recu le 10-01-25 avec chèque 170€ Reste 600€ (option dimanche 17h-70€)</t>
  </si>
  <si>
    <t>Coulon</t>
  </si>
  <si>
    <t>Chien / Draps / Ménage</t>
  </si>
  <si>
    <t>Ludivine</t>
  </si>
  <si>
    <t>Ménage + 70€ départ dimanche 16h</t>
  </si>
  <si>
    <t>Xavier</t>
  </si>
  <si>
    <t>170€ - reste 530€</t>
  </si>
  <si>
    <t>Acompte 180€ + 520€</t>
  </si>
  <si>
    <t>Hervé</t>
  </si>
  <si>
    <t>120€ Ménage + 50€ dimanche</t>
  </si>
  <si>
    <t>Menguy</t>
  </si>
  <si>
    <t>Clémence</t>
  </si>
  <si>
    <t>Bar Stbrieuc</t>
  </si>
  <si>
    <t>Bar Stbrieuc de mauron 300€</t>
  </si>
  <si>
    <t>Ménage 120€ (4ème nuit à 200€)</t>
  </si>
  <si>
    <t>Lemée / duval</t>
  </si>
  <si>
    <t>contrat reçu le 11/08/25 contrat LEMEE (Justine Duval) 0660318901 steph.chalme@gmail.com justineduval14@gmail.com 14 ad pour les 90 ans de la gd mère Acompte 150€ par virement le 11/08. Reste 550€</t>
  </si>
  <si>
    <t>0660318901</t>
  </si>
  <si>
    <t>GDF Elizabeth Troigros 10 adultes et 3 enfants et 1 chien +330631313153</t>
  </si>
  <si>
    <t>0631313153</t>
  </si>
  <si>
    <t>Legavre</t>
  </si>
  <si>
    <t>Mme Legavre - 0682160005 150€ reçu par chèque reste 550€+120€ Forfait ménage Départ dimanche 13h Doit passer visiter le gîte en octobre (mari décédé - fête ses 50 ans)</t>
  </si>
  <si>
    <t>0682160005</t>
  </si>
  <si>
    <t>matthieu.mosser@free.fr 700€ weekend (locataire de 2024 airbnb) Contrat recu le 30-06 avec acompte 150€ par virement. Doit redire si souhaite option dimanche 16h-17h à 60€</t>
  </si>
  <si>
    <t>Floriane Moulin</t>
  </si>
  <si>
    <t>Sarah Louveau</t>
  </si>
  <si>
    <t>PA ( 350x5 = 1750€) Contrat reçu le 05-10 avec chèque acompte 350€. Reste 1400€ "Planche apéro"</t>
  </si>
  <si>
    <t>florence.martin</t>
  </si>
  <si>
    <t>florence.martin@lilo.org Florence - contrat reçu le 18-08-25 350€ / nuit soit 2100€ Acompte 400€ reçu le 25/08/2025 Reste 1700€</t>
  </si>
  <si>
    <t>Jours</t>
  </si>
  <si>
    <t>Montant</t>
  </si>
  <si>
    <t>Cumulé</t>
  </si>
  <si>
    <t>URSSAF</t>
  </si>
  <si>
    <t>Saur</t>
  </si>
  <si>
    <t xml:space="preserve">Prêt grée </t>
  </si>
  <si>
    <t>Prêt pellet</t>
  </si>
  <si>
    <t>Bouygues</t>
  </si>
  <si>
    <t>Suravenir ASS</t>
  </si>
  <si>
    <t>Prêt Tlohan</t>
  </si>
  <si>
    <t xml:space="preserve">Maaf </t>
  </si>
  <si>
    <t>SFR - box Tlohan</t>
  </si>
  <si>
    <t>Retro+ Passat</t>
  </si>
  <si>
    <t>Prêt toit</t>
  </si>
  <si>
    <t>EDF</t>
  </si>
  <si>
    <t>Total energie</t>
  </si>
  <si>
    <t>Prêt Mauron</t>
  </si>
  <si>
    <t>Impots</t>
  </si>
  <si>
    <t>SwissLife</t>
  </si>
  <si>
    <t>Début (lundi) :</t>
  </si>
  <si>
    <t>&lt; Cocher la case pour rafraichir</t>
  </si>
  <si>
    <t>Fin (lundi) :</t>
  </si>
  <si>
    <t>Semaine du 15/12/2025</t>
  </si>
  <si>
    <t>Phonsine</t>
  </si>
  <si>
    <t>Gree</t>
  </si>
  <si>
    <t>Edmond</t>
  </si>
  <si>
    <t>Liberté</t>
  </si>
  <si>
    <t>Semaine du 22/12/2025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</si>
</sst>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#,##0\ [$€-1]"/>
    <numFmt numFmtId="166" formatCode="0 &quot;nuits&quot;"/>
    <numFmt numFmtId="167" formatCode="0 &quot;adultes&quot;"/>
    <numFmt numFmtId="168" formatCode="mm (mmmm)"/>
    <numFmt numFmtId="169" formatCode="_(* #,##0.00_)\ [$€-1]_);\(#,##0.00\)\ [$€-1]_);_(* &quot;-&quot;??_)\ [$€-1]_);_(@"/>
    <numFmt numFmtId="170" formatCode="#,##0.00\ [$€-1]"/>
    <numFmt numFmtId="171" formatCode="#,##0&quot;€&quot;"/>
    <numFmt numFmtId="172" formatCode="dd/mm/yyyy"/>
    <numFmt numFmtId="173" formatCode="ddd dd/mm"/>
  </numFmts>
  <fonts count="20">
    <font>
      <sz val="10.0"/>
      <color rgb="FF000000"/>
      <name val="Arial"/>
    </font>
    <font>
      <color rgb="FFFFFFFF"/>
      <name val="Arial"/>
    </font>
    <font>
      <sz val="11.0"/>
      <color rgb="FFFFFFFF"/>
      <name val="Inconsolata"/>
    </font>
    <font>
      <color rgb="FFFFFFFF"/>
      <name val="Roboto"/>
    </font>
    <font>
      <color rgb="FF434343"/>
      <name val="Roboto"/>
    </font>
    <font>
      <sz val="11.0"/>
      <color rgb="FF000000"/>
      <name val="Inconsolata"/>
    </font>
    <font>
      <color rgb="FF434343"/>
      <name val="Arial"/>
    </font>
    <font>
      <name val="Arial"/>
    </font>
    <font>
      <b/>
      <color rgb="FFFFFFFF"/>
      <name val="Open Sans"/>
    </font>
    <font>
      <b/>
      <sz val="14.0"/>
      <color rgb="FFFFFFFF"/>
      <name val="Open Sans"/>
    </font>
    <font>
      <b/>
      <name val="Open Sans"/>
    </font>
    <font/>
    <font>
      <b/>
      <sz val="12.0"/>
      <color rgb="FFDFE6FF"/>
      <name val="Open Sans"/>
    </font>
    <font>
      <b/>
      <sz val="11.0"/>
      <color rgb="FFDFE6FF"/>
      <name val="Open Sans"/>
    </font>
    <font>
      <b/>
      <sz val="12.0"/>
      <color rgb="FFC3D3FF"/>
      <name val="Open Sans"/>
    </font>
    <font>
      <sz val="11.0"/>
      <name val="Open Sans"/>
    </font>
    <font>
      <b/>
      <sz val="11.0"/>
      <name val="Open Sans"/>
    </font>
    <font>
      <b/>
      <sz val="12.0"/>
      <color rgb="FF1F2933"/>
      <name val="Open Sans"/>
    </font>
    <font>
      <b/>
      <sz val="11.0"/>
      <color rgb="FF1F2933"/>
      <name val="Open Sans"/>
    </font>
    <font>
      <b/>
      <sz val="12.0"/>
      <color rgb="FF102A43"/>
      <name val="Open Sans"/>
    </font>
  </fonts>
  <fills count="13">
    <fill>
      <patternFill patternType="none"/>
    </fill>
    <fill>
      <patternFill patternType="lightGray"/>
    </fill>
    <fill>
      <patternFill patternType="solid">
        <fgColor rgb="FFFFF9C4"/>
        <bgColor rgb="FFFFF9C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52AAB4"/>
        <bgColor rgb="FF52AAB4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166" xfId="0" applyAlignment="1" applyFont="1" applyNumberFormat="1">
      <alignment horizontal="right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4" numFmtId="164" xfId="0" applyAlignment="1" applyFont="1" applyNumberFormat="1">
      <alignment readingOrder="0" shrinkToFit="0" vertical="center" wrapText="0"/>
    </xf>
    <xf borderId="0" fillId="2" fontId="4" numFmtId="168" xfId="0" applyAlignment="1" applyFont="1" applyNumberFormat="1">
      <alignment shrinkToFit="0" vertical="center" wrapText="0"/>
    </xf>
    <xf borderId="0" fillId="2" fontId="4" numFmtId="166" xfId="0" applyAlignment="1" applyFont="1" applyNumberFormat="1">
      <alignment shrinkToFit="0" vertical="center" wrapText="0"/>
    </xf>
    <xf borderId="0" fillId="2" fontId="4" numFmtId="167" xfId="0" applyAlignment="1" applyFont="1" applyNumberForma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166" xfId="0" applyAlignment="1" applyFont="1" applyNumberFormat="1">
      <alignment horizontal="right" shrinkToFit="0" vertical="center" wrapText="0"/>
    </xf>
    <xf borderId="0" fillId="0" fontId="6" numFmtId="167" xfId="0" applyAlignment="1" applyFont="1" applyNumberFormat="1">
      <alignment horizontal="right"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9" xfId="0" applyAlignment="1" applyFont="1" applyNumberFormat="1">
      <alignment readingOrder="0" shrinkToFit="0" vertical="center" wrapText="0"/>
    </xf>
    <xf borderId="0" fillId="2" fontId="4" numFmtId="166" xfId="0" applyAlignment="1" applyFont="1" applyNumberFormat="1">
      <alignment shrinkToFit="0" vertical="center" wrapText="0"/>
    </xf>
    <xf borderId="0" fillId="2" fontId="4" numFmtId="167" xfId="0" applyAlignment="1" applyFont="1" applyNumberFormat="1">
      <alignment readingOrder="0" shrinkToFit="0" vertical="center" wrapText="0"/>
    </xf>
    <xf borderId="0" fillId="2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166" xfId="0" applyAlignment="1" applyFont="1" applyNumberFormat="1">
      <alignment horizontal="right" shrinkToFit="0" vertical="bottom" wrapText="0"/>
    </xf>
    <xf borderId="0" fillId="0" fontId="6" numFmtId="167" xfId="0" applyAlignment="1" applyFont="1" applyNumberFormat="1">
      <alignment horizontal="right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4" numFmtId="168" xfId="0" applyAlignment="1" applyFont="1" applyNumberFormat="1">
      <alignment horizontal="left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2" fillId="0" fontId="4" numFmtId="164" xfId="0" applyAlignment="1" applyBorder="1" applyFont="1" applyNumberFormat="1">
      <alignment readingOrder="0" shrinkToFit="0" vertical="center" wrapText="0"/>
    </xf>
    <xf borderId="2" fillId="0" fontId="4" numFmtId="164" xfId="0" applyAlignment="1" applyBorder="1" applyFont="1" applyNumberFormat="1">
      <alignment shrinkToFit="0" vertical="center" wrapText="0"/>
    </xf>
    <xf borderId="2" fillId="0" fontId="4" numFmtId="166" xfId="0" applyAlignment="1" applyBorder="1" applyFont="1" applyNumberFormat="1">
      <alignment shrinkToFit="0" vertical="center" wrapText="0"/>
    </xf>
    <xf borderId="2" fillId="0" fontId="4" numFmtId="167" xfId="0" applyAlignment="1" applyBorder="1" applyFont="1" applyNumberFormat="1">
      <alignment readingOrder="0" shrinkToFit="0" vertical="center" wrapText="0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49" xfId="0" applyAlignment="1" applyBorder="1" applyFont="1" applyNumberForma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2" fillId="0" fontId="4" numFmtId="165" xfId="0" applyAlignment="1" applyBorder="1" applyFont="1" applyNumberFormat="1">
      <alignment shrinkToFit="0" vertical="center" wrapText="0"/>
    </xf>
    <xf quotePrefix="1" borderId="0" fillId="0" fontId="4" numFmtId="49" xfId="0" applyAlignment="1" applyFont="1" applyNumberFormat="1">
      <alignment readingOrder="0" shrinkToFit="0" vertical="center" wrapText="0"/>
    </xf>
    <xf borderId="2" fillId="0" fontId="4" numFmtId="167" xfId="0" applyAlignment="1" applyBorder="1" applyFont="1" applyNumberForma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170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170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166" xfId="0" applyAlignment="1" applyFont="1" applyNumberFormat="1">
      <alignment horizontal="right" shrinkToFit="0" vertical="center" wrapText="0"/>
    </xf>
    <xf borderId="0" fillId="0" fontId="6" numFmtId="167" xfId="0" applyAlignment="1" applyFont="1" applyNumberFormat="1">
      <alignment horizontal="right" shrinkToFit="0" vertical="center" wrapText="0"/>
    </xf>
    <xf borderId="0" fillId="0" fontId="6" numFmtId="170" xfId="0" applyAlignment="1" applyFont="1" applyNumberForma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4" numFmtId="170" xfId="0" applyAlignment="1" applyFont="1" applyNumberFormat="1">
      <alignment readingOrder="0" shrinkToFit="0" vertical="center" wrapText="0"/>
    </xf>
    <xf borderId="2" fillId="0" fontId="4" numFmtId="170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16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horizontal="left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4" numFmtId="171" xfId="0" applyAlignment="1" applyFont="1" applyNumberFormat="1">
      <alignment readingOrder="0" shrinkToFit="0" vertical="center" wrapText="0"/>
    </xf>
    <xf borderId="0" fillId="2" fontId="4" numFmtId="165" xfId="0" applyAlignment="1" applyFont="1" applyNumberFormat="1">
      <alignment shrinkToFit="0" vertical="center" wrapText="0"/>
    </xf>
    <xf borderId="0" fillId="2" fontId="4" numFmtId="165" xfId="0" applyAlignment="1" applyFont="1" applyNumberFormat="1">
      <alignment readingOrder="0" shrinkToFit="0" vertical="center" wrapText="0"/>
    </xf>
    <xf borderId="0" fillId="2" fontId="4" numFmtId="168" xfId="0" applyAlignment="1" applyFont="1" applyNumberFormat="1">
      <alignment horizontal="left" shrinkToFit="0" vertical="center" wrapText="0"/>
    </xf>
    <xf borderId="0" fillId="2" fontId="4" numFmtId="0" xfId="0" applyAlignment="1" applyFont="1">
      <alignment shrinkToFit="0" vertical="center" wrapText="0"/>
    </xf>
    <xf borderId="4" fillId="3" fontId="7" numFmtId="0" xfId="0" applyAlignment="1" applyBorder="1" applyFill="1" applyFont="1">
      <alignment shrinkToFit="0" wrapText="1"/>
    </xf>
    <xf borderId="5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shrinkToFit="0" wrapText="1"/>
    </xf>
    <xf borderId="7" fillId="4" fontId="7" numFmtId="0" xfId="0" applyAlignment="1" applyBorder="1" applyFill="1" applyFont="1">
      <alignment horizontal="right"/>
    </xf>
    <xf borderId="2" fillId="4" fontId="7" numFmtId="0" xfId="0" applyBorder="1" applyFont="1"/>
    <xf borderId="2" fillId="4" fontId="7" numFmtId="170" xfId="0" applyAlignment="1" applyBorder="1" applyFont="1" applyNumberFormat="1">
      <alignment horizontal="right"/>
    </xf>
    <xf borderId="8" fillId="4" fontId="7" numFmtId="0" xfId="0" applyBorder="1" applyFont="1"/>
    <xf borderId="9" fillId="5" fontId="7" numFmtId="0" xfId="0" applyAlignment="1" applyBorder="1" applyFill="1" applyFont="1">
      <alignment horizontal="right"/>
    </xf>
    <xf borderId="10" fillId="5" fontId="7" numFmtId="0" xfId="0" applyBorder="1" applyFont="1"/>
    <xf borderId="10" fillId="5" fontId="7" numFmtId="170" xfId="0" applyBorder="1" applyFont="1" applyNumberFormat="1"/>
    <xf borderId="11" fillId="5" fontId="7" numFmtId="170" xfId="0" applyAlignment="1" applyBorder="1" applyFont="1" applyNumberFormat="1">
      <alignment horizontal="right"/>
    </xf>
    <xf borderId="2" fillId="4" fontId="7" numFmtId="170" xfId="0" applyBorder="1" applyFont="1" applyNumberFormat="1"/>
    <xf borderId="8" fillId="4" fontId="7" numFmtId="170" xfId="0" applyAlignment="1" applyBorder="1" applyFont="1" applyNumberFormat="1">
      <alignment horizontal="right"/>
    </xf>
    <xf borderId="10" fillId="5" fontId="7" numFmtId="170" xfId="0" applyAlignment="1" applyBorder="1" applyFont="1" applyNumberFormat="1">
      <alignment horizontal="right"/>
    </xf>
    <xf borderId="12" fillId="5" fontId="7" numFmtId="0" xfId="0" applyAlignment="1" applyBorder="1" applyFont="1">
      <alignment horizontal="right" readingOrder="0"/>
    </xf>
    <xf borderId="0" fillId="5" fontId="7" numFmtId="0" xfId="0" applyAlignment="1" applyFont="1">
      <alignment readingOrder="0"/>
    </xf>
    <xf borderId="0" fillId="5" fontId="7" numFmtId="170" xfId="0" applyAlignment="1" applyFont="1" applyNumberFormat="1">
      <alignment horizontal="right" readingOrder="0"/>
    </xf>
    <xf borderId="0" fillId="5" fontId="7" numFmtId="0" xfId="0" applyFont="1"/>
    <xf borderId="13" fillId="5" fontId="7" numFmtId="170" xfId="0" applyAlignment="1" applyBorder="1" applyFont="1" applyNumberFormat="1">
      <alignment horizontal="right"/>
    </xf>
    <xf borderId="10" fillId="5" fontId="7" numFmtId="0" xfId="0" applyAlignment="1" applyBorder="1" applyFont="1">
      <alignment readingOrder="0"/>
    </xf>
    <xf borderId="10" fillId="5" fontId="7" numFmtId="170" xfId="0" applyAlignment="1" applyBorder="1" applyFont="1" applyNumberFormat="1">
      <alignment horizontal="right" readingOrder="0"/>
    </xf>
    <xf borderId="12" fillId="4" fontId="7" numFmtId="0" xfId="0" applyAlignment="1" applyBorder="1" applyFont="1">
      <alignment horizontal="right" readingOrder="0"/>
    </xf>
    <xf borderId="0" fillId="4" fontId="7" numFmtId="0" xfId="0" applyAlignment="1" applyFont="1">
      <alignment readingOrder="0"/>
    </xf>
    <xf borderId="0" fillId="4" fontId="7" numFmtId="170" xfId="0" applyAlignment="1" applyFont="1" applyNumberFormat="1">
      <alignment horizontal="right" readingOrder="0"/>
    </xf>
    <xf borderId="0" fillId="4" fontId="7" numFmtId="170" xfId="0" applyAlignment="1" applyFont="1" applyNumberFormat="1">
      <alignment horizontal="right"/>
    </xf>
    <xf borderId="13" fillId="4" fontId="7" numFmtId="170" xfId="0" applyAlignment="1" applyBorder="1" applyFont="1" applyNumberFormat="1">
      <alignment horizontal="right"/>
    </xf>
    <xf borderId="0" fillId="6" fontId="8" numFmtId="0" xfId="0" applyAlignment="1" applyFill="1" applyFont="1">
      <alignment readingOrder="0" vertical="center"/>
    </xf>
    <xf borderId="0" fillId="7" fontId="9" numFmtId="172" xfId="0" applyAlignment="1" applyFill="1" applyFont="1" applyNumberForma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Font="1"/>
    <xf borderId="14" fillId="8" fontId="12" numFmtId="0" xfId="0" applyAlignment="1" applyBorder="1" applyFill="1" applyFont="1">
      <alignment horizontal="left" readingOrder="0" vertical="center"/>
    </xf>
    <xf borderId="14" fillId="4" fontId="13" numFmtId="173" xfId="0" applyAlignment="1" applyBorder="1" applyFont="1" applyNumberFormat="1">
      <alignment horizontal="center" readingOrder="0" vertical="center"/>
    </xf>
    <xf borderId="14" fillId="8" fontId="13" numFmtId="173" xfId="0" applyAlignment="1" applyBorder="1" applyFont="1" applyNumberFormat="1">
      <alignment horizontal="center" readingOrder="0" vertical="center"/>
    </xf>
    <xf borderId="14" fillId="8" fontId="14" numFmtId="0" xfId="0" applyAlignment="1" applyBorder="1" applyFont="1">
      <alignment horizontal="left" readingOrder="0" vertical="center"/>
    </xf>
    <xf borderId="14" fillId="0" fontId="15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readingOrder="0" shrinkToFit="0" vertical="center" wrapText="1"/>
    </xf>
    <xf borderId="14" fillId="9" fontId="16" numFmtId="0" xfId="0" applyAlignment="1" applyBorder="1" applyFill="1" applyFont="1">
      <alignment horizontal="center" readingOrder="0" shrinkToFit="0" vertical="center" wrapText="1"/>
    </xf>
    <xf borderId="14" fillId="10" fontId="16" numFmtId="0" xfId="0" applyAlignment="1" applyBorder="1" applyFill="1" applyFont="1">
      <alignment horizontal="center" readingOrder="0" shrinkToFit="0" vertical="center" wrapText="1"/>
    </xf>
    <xf borderId="14" fillId="10" fontId="15" numFmtId="0" xfId="0" applyAlignment="1" applyBorder="1" applyFont="1">
      <alignment horizontal="center" shrinkToFit="0" vertical="center" wrapText="1"/>
    </xf>
    <xf borderId="14" fillId="11" fontId="16" numFmtId="0" xfId="0" applyAlignment="1" applyBorder="1" applyFill="1" applyFont="1">
      <alignment horizontal="center" readingOrder="0" shrinkToFit="0" vertical="center" wrapText="1"/>
    </xf>
    <xf borderId="14" fillId="12" fontId="16" numFmtId="0" xfId="0" applyAlignment="1" applyBorder="1" applyFill="1" applyFont="1">
      <alignment horizontal="center" readingOrder="0" shrinkToFit="0" vertical="center" wrapText="1"/>
    </xf>
    <xf borderId="14" fillId="9" fontId="15" numFmtId="0" xfId="0" applyAlignment="1" applyBorder="1" applyFont="1">
      <alignment horizontal="center" shrinkToFit="0" vertical="center" wrapText="1"/>
    </xf>
    <xf borderId="14" fillId="11" fontId="15" numFmtId="0" xfId="0" applyAlignment="1" applyBorder="1" applyFont="1">
      <alignment horizontal="center" shrinkToFit="0" vertical="center" wrapText="1"/>
    </xf>
    <xf borderId="14" fillId="12" fontId="15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left" readingOrder="0" vertical="center"/>
    </xf>
    <xf borderId="14" fillId="0" fontId="13" numFmtId="173" xfId="0" applyAlignment="1" applyBorder="1" applyFont="1" applyNumberFormat="1">
      <alignment horizontal="center" readingOrder="0" vertical="center"/>
    </xf>
    <xf borderId="14" fillId="0" fontId="14" numFmtId="0" xfId="0" applyAlignment="1" applyBorder="1" applyFont="1">
      <alignment horizontal="left" readingOrder="0" vertical="center"/>
    </xf>
    <xf borderId="14" fillId="0" fontId="17" numFmtId="0" xfId="0" applyAlignment="1" applyBorder="1" applyFont="1">
      <alignment horizontal="left" readingOrder="0" vertical="center"/>
    </xf>
    <xf borderId="14" fillId="0" fontId="18" numFmtId="173" xfId="0" applyAlignment="1" applyBorder="1" applyFont="1" applyNumberFormat="1">
      <alignment horizontal="center" readingOrder="0" vertical="center"/>
    </xf>
    <xf borderId="14" fillId="0" fontId="19" numFmtId="0" xfId="0" applyAlignment="1" applyBorder="1" applyFont="1">
      <alignment horizontal="left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5">
    <tableStyle count="4" pivot="0" name="Phon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e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mo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bert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Frais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780" displayName="Tableau_Phonsine" name="Tableau_Phonsine" id="1">
  <tableColumns count="24">
    <tableColumn name="Nom" id="1"/>
    <tableColumn name="Debut" id="2"/>
    <tableColumn name="Fin" id="3"/>
    <tableColumn name="Mois" id="4"/>
    <tableColumn name="Nb Nuits" id="5"/>
    <tableColumn name="Nb Adultes" id="6"/>
    <tableColumn name="PRix/nuits" id="7"/>
    <tableColumn name="Revenus" id="8"/>
    <tableColumn name="Paiement" id="9"/>
    <tableColumn name="Commentaires" id="10"/>
    <tableColumn name="Tel" id="11"/>
    <tableColumn name="Colonne 3" id="12"/>
    <tableColumn name="Colonne 4" id="13"/>
    <tableColumn name="Colonne 5" id="14"/>
    <tableColumn name="Colonne 6" id="15"/>
    <tableColumn name="Colonne 7" id="16"/>
    <tableColumn name="Colonne 8" id="17"/>
    <tableColumn name="Colonne 9" id="18"/>
    <tableColumn name="Colonne 10" id="19"/>
    <tableColumn name="Colonne 11" id="20"/>
    <tableColumn name="Colonne 12" id="21"/>
    <tableColumn name="Colonne 13" id="22"/>
    <tableColumn name="Colonne 14" id="23"/>
    <tableColumn name="Colonne 15" id="24"/>
  </tableColumns>
  <tableStyleInfo name="Phonsine-style" showColumnStripes="0" showFirstColumn="1" showLastColumn="1" showRowStripes="1"/>
</table>
</file>

<file path=xl/tables/table2.xml><?xml version="1.0" encoding="utf-8"?>
<table xmlns="http://schemas.openxmlformats.org/spreadsheetml/2006/main" ref="A1:Y695" displayName="Tableau1" name="Tableau1" id="2">
  <tableColumns count="25">
    <tableColumn name="Nom" id="1"/>
    <tableColumn name="Debut" id="2"/>
    <tableColumn name="Fin" id="3"/>
    <tableColumn name="Mois" id="4"/>
    <tableColumn name="Nb Nuits" id="5"/>
    <tableColumn name="Nb Adultes" id="6"/>
    <tableColumn name="PRix/nuits" id="7"/>
    <tableColumn name="Revenus" id="8"/>
    <tableColumn name="Paiement" id="9"/>
    <tableColumn name="Commentaires" id="10"/>
    <tableColumn name="Tel" id="11"/>
    <tableColumn name="ID insertion" id="12"/>
    <tableColumn name="Colonne 4" id="13"/>
    <tableColumn name="Colonne 5" id="14"/>
    <tableColumn name="Colonne 6" id="15"/>
    <tableColumn name="Colonne 7" id="16"/>
    <tableColumn name="Colonne 8" id="17"/>
    <tableColumn name="Colonne 9" id="18"/>
    <tableColumn name="Colonne 10" id="19"/>
    <tableColumn name="Colonne 11" id="20"/>
    <tableColumn name="Colonne 12" id="21"/>
    <tableColumn name="Colonne 13" id="22"/>
    <tableColumn name="Colonne 14" id="23"/>
    <tableColumn name="Colonne 15" id="24"/>
    <tableColumn name="Colonne 16" id="25"/>
  </tableColumns>
  <tableStyleInfo name="Gree-style" showColumnStripes="0" showFirstColumn="1" showLastColumn="1" showRowStripes="1"/>
</table>
</file>

<file path=xl/tables/table3.xml><?xml version="1.0" encoding="utf-8"?>
<table xmlns="http://schemas.openxmlformats.org/spreadsheetml/2006/main" ref="A1:Y594" displayName="Tableau3" name="Tableau3" id="3">
  <tableColumns count="25">
    <tableColumn name="Title" id="1"/>
    <tableColumn name="Debut" id="2"/>
    <tableColumn name="Fin" id="3"/>
    <tableColumn name="Mois" id="4"/>
    <tableColumn name="Nb Nuits" id="5"/>
    <tableColumn name="Nb Adultes" id="6"/>
    <tableColumn name="PRix/nuits" id="7"/>
    <tableColumn name="Revenus" id="8"/>
    <tableColumn name="Paiement" id="9"/>
    <tableColumn name="Commentaires" id="10"/>
    <tableColumn name="Tel" id="11"/>
    <tableColumn name="Colonne 12" id="12"/>
    <tableColumn name="Colonne 4" id="13"/>
    <tableColumn name="Colonne 5" id="14"/>
    <tableColumn name="Colonne 6" id="15"/>
    <tableColumn name="Colonne 7" id="16"/>
    <tableColumn name="Colonne 8" id="17"/>
    <tableColumn name="Colonne 9" id="18"/>
    <tableColumn name="Colonne 10" id="19"/>
    <tableColumn name="Colonne 11" id="20"/>
    <tableColumn name="Colonne 12 2" id="21"/>
    <tableColumn name="Colonne 13" id="22"/>
    <tableColumn name="Colonne 14" id="23"/>
    <tableColumn name="Colonne 15" id="24"/>
    <tableColumn name="Colonne 16" id="25"/>
  </tableColumns>
  <tableStyleInfo name="Edmond-style" showColumnStripes="0" showFirstColumn="1" showLastColumn="1" showRowStripes="1"/>
</table>
</file>

<file path=xl/tables/table4.xml><?xml version="1.0" encoding="utf-8"?>
<table xmlns="http://schemas.openxmlformats.org/spreadsheetml/2006/main" ref="A1:Y785" displayName="Tableau2" name="Tableau2" id="4">
  <tableColumns count="25">
    <tableColumn name="Title" id="1"/>
    <tableColumn name="Debut" id="2"/>
    <tableColumn name="Fin" id="3"/>
    <tableColumn name="Mois" id="4"/>
    <tableColumn name="Nb Nuits" id="5"/>
    <tableColumn name="Nb Adultes" id="6"/>
    <tableColumn name="PRix/nuits" id="7"/>
    <tableColumn name="Revenus" id="8"/>
    <tableColumn name="Paiement" id="9"/>
    <tableColumn name="Commentaires" id="10"/>
    <tableColumn name="Tel" id="11"/>
    <tableColumn name="Colonne 12" id="12"/>
    <tableColumn name="Colonne 3" id="13"/>
    <tableColumn name="Colonne 4" id="14"/>
    <tableColumn name="Colonne 5" id="15"/>
    <tableColumn name="Colonne 6" id="16"/>
    <tableColumn name="Colonne 7" id="17"/>
    <tableColumn name="Colonne 8" id="18"/>
    <tableColumn name="Colonne 9" id="19"/>
    <tableColumn name="Colonne 10" id="20"/>
    <tableColumn name="Colonne 11" id="21"/>
    <tableColumn name="Colonne 12 2" id="22"/>
    <tableColumn name="Colonne 13" id="23"/>
    <tableColumn name="Colonne 14" id="24"/>
    <tableColumn name="Colonne 15" id="25"/>
  </tableColumns>
  <tableStyleInfo name="Liberté-style" showColumnStripes="0" showFirstColumn="1" showLastColumn="1" showRowStripes="1"/>
</table>
</file>

<file path=xl/tables/table5.xml><?xml version="1.0" encoding="utf-8"?>
<table xmlns="http://schemas.openxmlformats.org/spreadsheetml/2006/main" headerRowCount="0" ref="A1:E40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Fra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3.25"/>
    <col customWidth="1" min="3" max="3" width="11.13"/>
    <col customWidth="1" min="4" max="4" width="15.5"/>
    <col customWidth="1" min="5" max="5" width="11.88"/>
    <col customWidth="1" min="6" max="6" width="13.63"/>
    <col customWidth="1" min="7" max="7" width="13.0"/>
    <col customWidth="1" min="8" max="8" width="11.75"/>
    <col customWidth="1" min="9" max="9" width="16.5"/>
    <col customWidth="1" min="10" max="10" width="37.63"/>
    <col customWidth="1" min="11" max="11" width="12.25"/>
    <col customWidth="1" min="12" max="18" width="13.13"/>
    <col customWidth="1" min="19" max="19" width="14.0"/>
    <col customWidth="1" min="20" max="24" width="13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ht="22.5" customHeight="1">
      <c r="A2" s="10" t="s">
        <v>24</v>
      </c>
      <c r="B2" s="11">
        <v>45658.0</v>
      </c>
      <c r="C2" s="11">
        <v>45661.0</v>
      </c>
      <c r="D2" s="12" t="str">
        <f t="shared" ref="D2:D7" si="1">TEXT(B2 ,"mm (mmmm)")</f>
        <v>01 (janvier)</v>
      </c>
      <c r="E2" s="13">
        <f t="shared" ref="E2:E7" si="2">C2-B2</f>
        <v>3</v>
      </c>
      <c r="F2" s="14">
        <v>2.0</v>
      </c>
      <c r="G2" s="15">
        <v>61.0</v>
      </c>
      <c r="H2" s="16">
        <f t="shared" ref="H2:H7" si="3">G2*E2</f>
        <v>183</v>
      </c>
      <c r="I2" s="17" t="s">
        <v>25</v>
      </c>
    </row>
    <row r="3" ht="22.5" customHeight="1">
      <c r="A3" s="10" t="s">
        <v>26</v>
      </c>
      <c r="B3" s="11">
        <v>45663.0</v>
      </c>
      <c r="C3" s="11">
        <v>45667.0</v>
      </c>
      <c r="D3" s="12" t="str">
        <f t="shared" si="1"/>
        <v>01 (janvier)</v>
      </c>
      <c r="E3" s="13">
        <f t="shared" si="2"/>
        <v>4</v>
      </c>
      <c r="F3" s="14">
        <v>3.0</v>
      </c>
      <c r="G3" s="15">
        <v>55.0</v>
      </c>
      <c r="H3" s="16">
        <f t="shared" si="3"/>
        <v>220</v>
      </c>
      <c r="I3" s="18" t="s">
        <v>27</v>
      </c>
    </row>
    <row r="4" ht="22.5" customHeight="1">
      <c r="A4" s="10" t="s">
        <v>28</v>
      </c>
      <c r="B4" s="11">
        <v>45668.0</v>
      </c>
      <c r="C4" s="11">
        <v>45672.0</v>
      </c>
      <c r="D4" s="12" t="str">
        <f t="shared" si="1"/>
        <v>01 (janvier)</v>
      </c>
      <c r="E4" s="13">
        <f t="shared" si="2"/>
        <v>4</v>
      </c>
      <c r="F4" s="14">
        <v>2.0</v>
      </c>
      <c r="G4" s="15">
        <v>60.0</v>
      </c>
      <c r="H4" s="16">
        <f t="shared" si="3"/>
        <v>240</v>
      </c>
      <c r="I4" s="18" t="s">
        <v>27</v>
      </c>
    </row>
    <row r="5" ht="22.5" customHeight="1">
      <c r="A5" s="10" t="s">
        <v>29</v>
      </c>
      <c r="B5" s="11">
        <v>45675.0</v>
      </c>
      <c r="C5" s="11">
        <v>45676.0</v>
      </c>
      <c r="D5" s="12" t="str">
        <f t="shared" si="1"/>
        <v>01 (janvier)</v>
      </c>
      <c r="E5" s="13">
        <f t="shared" si="2"/>
        <v>1</v>
      </c>
      <c r="F5" s="14">
        <v>2.0</v>
      </c>
      <c r="G5" s="15">
        <v>50.36</v>
      </c>
      <c r="H5" s="16">
        <f t="shared" si="3"/>
        <v>50.36</v>
      </c>
      <c r="I5" s="17" t="s">
        <v>25</v>
      </c>
    </row>
    <row r="6" ht="22.5" customHeight="1">
      <c r="A6" s="10" t="s">
        <v>30</v>
      </c>
      <c r="B6" s="11">
        <v>45678.0</v>
      </c>
      <c r="C6" s="11">
        <v>45680.0</v>
      </c>
      <c r="D6" s="12" t="str">
        <f t="shared" si="1"/>
        <v>01 (janvier)</v>
      </c>
      <c r="E6" s="13">
        <f t="shared" si="2"/>
        <v>2</v>
      </c>
      <c r="F6" s="14">
        <v>2.0</v>
      </c>
      <c r="G6" s="15">
        <v>50.0</v>
      </c>
      <c r="H6" s="16">
        <f t="shared" si="3"/>
        <v>100</v>
      </c>
      <c r="I6" s="17" t="s">
        <v>25</v>
      </c>
    </row>
    <row r="7" ht="22.5" customHeight="1">
      <c r="A7" s="10" t="s">
        <v>31</v>
      </c>
      <c r="B7" s="11">
        <v>45684.0</v>
      </c>
      <c r="C7" s="11">
        <v>45685.0</v>
      </c>
      <c r="D7" s="12" t="str">
        <f t="shared" si="1"/>
        <v>01 (janvier)</v>
      </c>
      <c r="E7" s="13">
        <f t="shared" si="2"/>
        <v>1</v>
      </c>
      <c r="F7" s="14">
        <v>3.0</v>
      </c>
      <c r="G7" s="15">
        <v>50.0</v>
      </c>
      <c r="H7" s="16">
        <f t="shared" si="3"/>
        <v>50</v>
      </c>
      <c r="I7" s="18" t="s">
        <v>27</v>
      </c>
    </row>
    <row r="8" ht="22.5" customHeight="1">
      <c r="B8" s="19"/>
      <c r="C8" s="19"/>
      <c r="E8" s="20"/>
      <c r="F8" s="21"/>
      <c r="G8" s="16"/>
      <c r="H8" s="16"/>
      <c r="I8" s="22"/>
    </row>
    <row r="9" ht="22.5" customHeight="1">
      <c r="A9" s="10" t="s">
        <v>32</v>
      </c>
      <c r="B9" s="11">
        <v>45689.0</v>
      </c>
      <c r="C9" s="11">
        <v>45691.0</v>
      </c>
      <c r="D9" s="12" t="str">
        <f t="shared" ref="D9:D14" si="4">TEXT(B9 ,"mm (mmmm)")</f>
        <v>02 (février)</v>
      </c>
      <c r="E9" s="13">
        <f t="shared" ref="E9:E15" si="5">C9-B9</f>
        <v>2</v>
      </c>
      <c r="F9" s="14">
        <v>2.0</v>
      </c>
      <c r="G9" s="15">
        <v>50.0</v>
      </c>
      <c r="H9" s="16">
        <f t="shared" ref="H9:H14" si="6">G9*E9</f>
        <v>100</v>
      </c>
      <c r="I9" s="18" t="s">
        <v>33</v>
      </c>
    </row>
    <row r="10" ht="22.5" customHeight="1">
      <c r="A10" s="10" t="s">
        <v>34</v>
      </c>
      <c r="B10" s="11">
        <v>45693.0</v>
      </c>
      <c r="C10" s="11">
        <v>45696.0</v>
      </c>
      <c r="D10" s="12" t="str">
        <f t="shared" si="4"/>
        <v>02 (février)</v>
      </c>
      <c r="E10" s="13">
        <f t="shared" si="5"/>
        <v>3</v>
      </c>
      <c r="F10" s="14">
        <v>2.0</v>
      </c>
      <c r="G10" s="15">
        <v>50.36</v>
      </c>
      <c r="H10" s="16">
        <f t="shared" si="6"/>
        <v>151.08</v>
      </c>
      <c r="I10" s="17" t="s">
        <v>25</v>
      </c>
    </row>
    <row r="11" ht="22.5" customHeight="1">
      <c r="A11" s="10" t="s">
        <v>35</v>
      </c>
      <c r="B11" s="11">
        <v>45696.0</v>
      </c>
      <c r="C11" s="11">
        <v>45699.0</v>
      </c>
      <c r="D11" s="12" t="str">
        <f t="shared" si="4"/>
        <v>02 (février)</v>
      </c>
      <c r="E11" s="13">
        <f t="shared" si="5"/>
        <v>3</v>
      </c>
      <c r="F11" s="14">
        <v>2.0</v>
      </c>
      <c r="G11" s="15">
        <v>67.0</v>
      </c>
      <c r="H11" s="16">
        <f t="shared" si="6"/>
        <v>201</v>
      </c>
      <c r="I11" s="17" t="s">
        <v>25</v>
      </c>
    </row>
    <row r="12" ht="22.5" customHeight="1">
      <c r="A12" s="10" t="s">
        <v>36</v>
      </c>
      <c r="B12" s="11">
        <v>45699.0</v>
      </c>
      <c r="C12" s="11">
        <v>45704.0</v>
      </c>
      <c r="D12" s="12" t="str">
        <f t="shared" si="4"/>
        <v>02 (février)</v>
      </c>
      <c r="E12" s="13">
        <f t="shared" si="5"/>
        <v>5</v>
      </c>
      <c r="F12" s="14">
        <v>1.0</v>
      </c>
      <c r="G12" s="15">
        <v>70.0</v>
      </c>
      <c r="H12" s="16">
        <f t="shared" si="6"/>
        <v>350</v>
      </c>
      <c r="I12" s="18" t="s">
        <v>33</v>
      </c>
    </row>
    <row r="13" ht="22.5" customHeight="1">
      <c r="A13" s="10" t="s">
        <v>37</v>
      </c>
      <c r="B13" s="11">
        <v>45704.0</v>
      </c>
      <c r="C13" s="11">
        <v>45708.0</v>
      </c>
      <c r="D13" s="12" t="str">
        <f t="shared" si="4"/>
        <v>02 (février)</v>
      </c>
      <c r="E13" s="13">
        <f t="shared" si="5"/>
        <v>4</v>
      </c>
      <c r="F13" s="14">
        <v>2.0</v>
      </c>
      <c r="G13" s="15">
        <f>268/4</f>
        <v>67</v>
      </c>
      <c r="H13" s="16">
        <f t="shared" si="6"/>
        <v>268</v>
      </c>
      <c r="I13" s="17" t="s">
        <v>25</v>
      </c>
    </row>
    <row r="14" ht="22.5" customHeight="1">
      <c r="A14" s="10" t="s">
        <v>38</v>
      </c>
      <c r="B14" s="11">
        <v>45708.0</v>
      </c>
      <c r="C14" s="11">
        <v>45710.0</v>
      </c>
      <c r="D14" s="12" t="str">
        <f t="shared" si="4"/>
        <v>02 (février)</v>
      </c>
      <c r="E14" s="13">
        <f t="shared" si="5"/>
        <v>2</v>
      </c>
      <c r="F14" s="14">
        <v>2.0</v>
      </c>
      <c r="G14" s="15">
        <f>134/2</f>
        <v>67</v>
      </c>
      <c r="H14" s="16">
        <f t="shared" si="6"/>
        <v>134</v>
      </c>
      <c r="I14" s="17" t="s">
        <v>25</v>
      </c>
    </row>
    <row r="15" ht="22.5" customHeight="1">
      <c r="A15" s="10" t="s">
        <v>39</v>
      </c>
      <c r="B15" s="11">
        <v>45715.0</v>
      </c>
      <c r="C15" s="11">
        <v>45717.0</v>
      </c>
      <c r="D15" s="23">
        <f>B15</f>
        <v>45715</v>
      </c>
      <c r="E15" s="24">
        <f t="shared" si="5"/>
        <v>2</v>
      </c>
      <c r="F15" s="25">
        <v>2.0</v>
      </c>
      <c r="G15" s="26">
        <v>75.0</v>
      </c>
      <c r="H15" s="26">
        <v>150.0</v>
      </c>
      <c r="I15" s="18" t="s">
        <v>25</v>
      </c>
      <c r="O15" s="10" t="s">
        <v>40</v>
      </c>
    </row>
    <row r="16" ht="22.5" customHeight="1">
      <c r="B16" s="19"/>
      <c r="C16" s="19"/>
      <c r="D16" s="23"/>
      <c r="E16" s="24"/>
      <c r="F16" s="27"/>
      <c r="I16" s="22"/>
    </row>
    <row r="17" ht="22.5" customHeight="1">
      <c r="A17" s="10" t="s">
        <v>39</v>
      </c>
      <c r="B17" s="11">
        <v>45717.0</v>
      </c>
      <c r="C17" s="11">
        <v>45718.0</v>
      </c>
      <c r="D17" s="23">
        <f>B17</f>
        <v>45717</v>
      </c>
      <c r="E17" s="24">
        <f t="shared" ref="E17:E23" si="7">C17-B17</f>
        <v>1</v>
      </c>
      <c r="F17" s="25">
        <v>2.0</v>
      </c>
      <c r="G17" s="26">
        <v>150.0</v>
      </c>
      <c r="H17" s="26">
        <v>150.0</v>
      </c>
      <c r="I17" s="18" t="s">
        <v>25</v>
      </c>
      <c r="O17" s="10" t="s">
        <v>40</v>
      </c>
    </row>
    <row r="18" ht="22.5" customHeight="1">
      <c r="A18" s="10" t="s">
        <v>41</v>
      </c>
      <c r="B18" s="11">
        <v>45722.0</v>
      </c>
      <c r="C18" s="11">
        <v>45723.0</v>
      </c>
      <c r="D18" s="12" t="str">
        <f t="shared" ref="D18:D23" si="8">TEXT(B18 ,"mm (mmmm)")</f>
        <v>03 (mars)</v>
      </c>
      <c r="E18" s="13">
        <f t="shared" si="7"/>
        <v>1</v>
      </c>
      <c r="F18" s="14">
        <v>2.0</v>
      </c>
      <c r="G18" s="15">
        <v>80.0</v>
      </c>
      <c r="H18" s="16">
        <f t="shared" ref="H18:H23" si="9">G18*E18</f>
        <v>80</v>
      </c>
      <c r="I18" s="18" t="s">
        <v>27</v>
      </c>
    </row>
    <row r="19" ht="22.5" customHeight="1">
      <c r="A19" s="10" t="s">
        <v>42</v>
      </c>
      <c r="B19" s="11">
        <v>45724.0</v>
      </c>
      <c r="C19" s="11">
        <v>45726.0</v>
      </c>
      <c r="D19" s="12" t="str">
        <f t="shared" si="8"/>
        <v>03 (mars)</v>
      </c>
      <c r="E19" s="13">
        <f t="shared" si="7"/>
        <v>2</v>
      </c>
      <c r="F19" s="14">
        <v>3.0</v>
      </c>
      <c r="G19" s="15">
        <v>50.0</v>
      </c>
      <c r="H19" s="16">
        <f t="shared" si="9"/>
        <v>100</v>
      </c>
      <c r="I19" s="17" t="s">
        <v>25</v>
      </c>
    </row>
    <row r="20" ht="22.5" customHeight="1">
      <c r="A20" s="10" t="s">
        <v>29</v>
      </c>
      <c r="B20" s="11">
        <v>45730.0</v>
      </c>
      <c r="C20" s="11">
        <v>45732.0</v>
      </c>
      <c r="D20" s="12" t="str">
        <f t="shared" si="8"/>
        <v>03 (mars)</v>
      </c>
      <c r="E20" s="13">
        <f t="shared" si="7"/>
        <v>2</v>
      </c>
      <c r="F20" s="14">
        <v>2.0</v>
      </c>
      <c r="G20" s="15">
        <v>50.0</v>
      </c>
      <c r="H20" s="16">
        <f t="shared" si="9"/>
        <v>100</v>
      </c>
      <c r="I20" s="17" t="s">
        <v>25</v>
      </c>
    </row>
    <row r="21" ht="22.5" customHeight="1">
      <c r="A21" s="10" t="s">
        <v>43</v>
      </c>
      <c r="B21" s="11">
        <v>45736.0</v>
      </c>
      <c r="C21" s="11">
        <v>45740.0</v>
      </c>
      <c r="D21" s="12" t="str">
        <f t="shared" si="8"/>
        <v>03 (mars)</v>
      </c>
      <c r="E21" s="13">
        <f t="shared" si="7"/>
        <v>4</v>
      </c>
      <c r="F21" s="14">
        <v>2.0</v>
      </c>
      <c r="G21" s="15">
        <v>50.0</v>
      </c>
      <c r="H21" s="16">
        <f t="shared" si="9"/>
        <v>200</v>
      </c>
      <c r="I21" s="17" t="s">
        <v>25</v>
      </c>
    </row>
    <row r="22" ht="22.5" customHeight="1">
      <c r="A22" s="10" t="s">
        <v>44</v>
      </c>
      <c r="B22" s="11">
        <v>45740.0</v>
      </c>
      <c r="C22" s="11">
        <v>45741.0</v>
      </c>
      <c r="D22" s="12" t="str">
        <f t="shared" si="8"/>
        <v>03 (mars)</v>
      </c>
      <c r="E22" s="13">
        <f t="shared" si="7"/>
        <v>1</v>
      </c>
      <c r="F22" s="14">
        <v>2.0</v>
      </c>
      <c r="G22" s="15">
        <v>50.0</v>
      </c>
      <c r="H22" s="16">
        <f t="shared" si="9"/>
        <v>50</v>
      </c>
      <c r="I22" s="17" t="s">
        <v>25</v>
      </c>
    </row>
    <row r="23" ht="22.5" customHeight="1">
      <c r="A23" s="10" t="s">
        <v>45</v>
      </c>
      <c r="B23" s="11">
        <v>45745.0</v>
      </c>
      <c r="C23" s="11">
        <v>45746.0</v>
      </c>
      <c r="D23" s="12" t="str">
        <f t="shared" si="8"/>
        <v>03 (mars)</v>
      </c>
      <c r="E23" s="13">
        <f t="shared" si="7"/>
        <v>1</v>
      </c>
      <c r="F23" s="14">
        <v>2.0</v>
      </c>
      <c r="G23" s="15">
        <v>50.0</v>
      </c>
      <c r="H23" s="16">
        <f t="shared" si="9"/>
        <v>50</v>
      </c>
      <c r="I23" s="17" t="s">
        <v>25</v>
      </c>
    </row>
    <row r="24" ht="22.5" customHeight="1">
      <c r="B24" s="19"/>
      <c r="C24" s="19"/>
      <c r="E24" s="20"/>
      <c r="F24" s="21"/>
      <c r="G24" s="16"/>
      <c r="H24" s="16"/>
      <c r="I24" s="22"/>
    </row>
    <row r="25" ht="22.5" customHeight="1">
      <c r="A25" s="10" t="s">
        <v>46</v>
      </c>
      <c r="B25" s="11">
        <v>45748.0</v>
      </c>
      <c r="C25" s="11">
        <v>45750.0</v>
      </c>
      <c r="D25" s="12" t="str">
        <f t="shared" ref="D25:D35" si="10">TEXT(B25 ,"mm (mmmm)")</f>
        <v>04 (avril)</v>
      </c>
      <c r="E25" s="13">
        <f t="shared" ref="E25:E35" si="11">C25-B25</f>
        <v>2</v>
      </c>
      <c r="F25" s="14">
        <v>2.0</v>
      </c>
      <c r="G25" s="15">
        <v>70.0</v>
      </c>
      <c r="H25" s="16">
        <f t="shared" ref="H25:H35" si="12">G25*E25</f>
        <v>140</v>
      </c>
      <c r="I25" s="18" t="s">
        <v>27</v>
      </c>
    </row>
    <row r="26" ht="22.5" customHeight="1">
      <c r="A26" s="10" t="s">
        <v>47</v>
      </c>
      <c r="B26" s="11">
        <v>45751.0</v>
      </c>
      <c r="C26" s="11">
        <v>45753.0</v>
      </c>
      <c r="D26" s="12" t="str">
        <f t="shared" si="10"/>
        <v>04 (avril)</v>
      </c>
      <c r="E26" s="13">
        <f t="shared" si="11"/>
        <v>2</v>
      </c>
      <c r="F26" s="14">
        <v>2.0</v>
      </c>
      <c r="G26" s="15">
        <v>70.0</v>
      </c>
      <c r="H26" s="16">
        <f t="shared" si="12"/>
        <v>140</v>
      </c>
      <c r="I26" s="18" t="s">
        <v>27</v>
      </c>
    </row>
    <row r="27" ht="22.5" customHeight="1">
      <c r="A27" s="10" t="s">
        <v>48</v>
      </c>
      <c r="B27" s="11">
        <v>45753.0</v>
      </c>
      <c r="C27" s="11">
        <v>45754.0</v>
      </c>
      <c r="D27" s="12" t="str">
        <f t="shared" si="10"/>
        <v>04 (avril)</v>
      </c>
      <c r="E27" s="13">
        <f t="shared" si="11"/>
        <v>1</v>
      </c>
      <c r="F27" s="14">
        <v>3.0</v>
      </c>
      <c r="G27" s="15">
        <v>54.0</v>
      </c>
      <c r="H27" s="16">
        <f t="shared" si="12"/>
        <v>54</v>
      </c>
      <c r="I27" s="18" t="s">
        <v>25</v>
      </c>
    </row>
    <row r="28" ht="22.5" customHeight="1">
      <c r="A28" s="10" t="s">
        <v>49</v>
      </c>
      <c r="B28" s="11">
        <v>45754.0</v>
      </c>
      <c r="C28" s="11">
        <v>45757.0</v>
      </c>
      <c r="D28" s="12" t="str">
        <f t="shared" si="10"/>
        <v>04 (avril)</v>
      </c>
      <c r="E28" s="13">
        <f t="shared" si="11"/>
        <v>3</v>
      </c>
      <c r="F28" s="14">
        <v>3.0</v>
      </c>
      <c r="G28" s="15">
        <v>64.0</v>
      </c>
      <c r="H28" s="16">
        <f t="shared" si="12"/>
        <v>192</v>
      </c>
      <c r="I28" s="18" t="s">
        <v>25</v>
      </c>
    </row>
    <row r="29" ht="22.5" customHeight="1">
      <c r="A29" s="10" t="s">
        <v>50</v>
      </c>
      <c r="B29" s="11">
        <v>45757.0</v>
      </c>
      <c r="C29" s="11">
        <v>45759.0</v>
      </c>
      <c r="D29" s="12" t="str">
        <f t="shared" si="10"/>
        <v>04 (avril)</v>
      </c>
      <c r="E29" s="13">
        <f t="shared" si="11"/>
        <v>2</v>
      </c>
      <c r="F29" s="14">
        <v>2.0</v>
      </c>
      <c r="G29" s="15">
        <v>67.0</v>
      </c>
      <c r="H29" s="16">
        <f t="shared" si="12"/>
        <v>134</v>
      </c>
      <c r="I29" s="18" t="s">
        <v>25</v>
      </c>
    </row>
    <row r="30" ht="22.5" customHeight="1">
      <c r="A30" s="10" t="s">
        <v>51</v>
      </c>
      <c r="B30" s="11">
        <v>45759.0</v>
      </c>
      <c r="C30" s="11">
        <v>45760.0</v>
      </c>
      <c r="D30" s="12" t="str">
        <f t="shared" si="10"/>
        <v>04 (avril)</v>
      </c>
      <c r="E30" s="13">
        <f t="shared" si="11"/>
        <v>1</v>
      </c>
      <c r="F30" s="14">
        <v>3.0</v>
      </c>
      <c r="G30" s="15">
        <v>58.0</v>
      </c>
      <c r="H30" s="16">
        <f t="shared" si="12"/>
        <v>58</v>
      </c>
      <c r="I30" s="18" t="s">
        <v>25</v>
      </c>
    </row>
    <row r="31" ht="22.5" customHeight="1">
      <c r="A31" s="10" t="s">
        <v>52</v>
      </c>
      <c r="B31" s="11">
        <v>45760.0</v>
      </c>
      <c r="C31" s="11">
        <v>45766.0</v>
      </c>
      <c r="D31" s="12" t="str">
        <f t="shared" si="10"/>
        <v>04 (avril)</v>
      </c>
      <c r="E31" s="13">
        <f t="shared" si="11"/>
        <v>6</v>
      </c>
      <c r="F31" s="14">
        <v>2.0</v>
      </c>
      <c r="G31" s="15">
        <v>75.0</v>
      </c>
      <c r="H31" s="16">
        <f t="shared" si="12"/>
        <v>450</v>
      </c>
      <c r="I31" s="18" t="s">
        <v>27</v>
      </c>
    </row>
    <row r="32" ht="22.5" customHeight="1">
      <c r="A32" s="10" t="s">
        <v>53</v>
      </c>
      <c r="B32" s="11">
        <v>45766.0</v>
      </c>
      <c r="C32" s="11">
        <v>45768.0</v>
      </c>
      <c r="D32" s="12" t="str">
        <f t="shared" si="10"/>
        <v>04 (avril)</v>
      </c>
      <c r="E32" s="13">
        <f t="shared" si="11"/>
        <v>2</v>
      </c>
      <c r="F32" s="14">
        <v>4.0</v>
      </c>
      <c r="G32" s="15">
        <v>58.0</v>
      </c>
      <c r="H32" s="16">
        <f t="shared" si="12"/>
        <v>116</v>
      </c>
      <c r="I32" s="17" t="s">
        <v>25</v>
      </c>
    </row>
    <row r="33" ht="22.5" customHeight="1">
      <c r="A33" s="10" t="s">
        <v>54</v>
      </c>
      <c r="B33" s="11">
        <v>45768.0</v>
      </c>
      <c r="C33" s="11">
        <v>45770.0</v>
      </c>
      <c r="D33" s="12" t="str">
        <f t="shared" si="10"/>
        <v>04 (avril)</v>
      </c>
      <c r="E33" s="13">
        <f t="shared" si="11"/>
        <v>2</v>
      </c>
      <c r="F33" s="14">
        <v>3.0</v>
      </c>
      <c r="G33" s="15">
        <v>64.0</v>
      </c>
      <c r="H33" s="16">
        <f t="shared" si="12"/>
        <v>128</v>
      </c>
      <c r="I33" s="17" t="s">
        <v>25</v>
      </c>
    </row>
    <row r="34" ht="22.5" customHeight="1">
      <c r="A34" s="10" t="s">
        <v>55</v>
      </c>
      <c r="B34" s="11">
        <v>45770.0</v>
      </c>
      <c r="C34" s="11">
        <v>45772.0</v>
      </c>
      <c r="D34" s="12" t="str">
        <f t="shared" si="10"/>
        <v>04 (avril)</v>
      </c>
      <c r="E34" s="13">
        <f t="shared" si="11"/>
        <v>2</v>
      </c>
      <c r="F34" s="14">
        <v>4.0</v>
      </c>
      <c r="G34" s="15">
        <v>72.0</v>
      </c>
      <c r="H34" s="16">
        <f t="shared" si="12"/>
        <v>144</v>
      </c>
      <c r="I34" s="17" t="s">
        <v>25</v>
      </c>
    </row>
    <row r="35" ht="22.5" customHeight="1">
      <c r="A35" s="10" t="s">
        <v>56</v>
      </c>
      <c r="B35" s="11">
        <v>45772.0</v>
      </c>
      <c r="C35" s="11">
        <v>45776.0</v>
      </c>
      <c r="D35" s="12" t="str">
        <f t="shared" si="10"/>
        <v>04 (avril)</v>
      </c>
      <c r="E35" s="13">
        <f t="shared" si="11"/>
        <v>4</v>
      </c>
      <c r="F35" s="14">
        <v>1.0</v>
      </c>
      <c r="G35" s="15">
        <v>70.0</v>
      </c>
      <c r="H35" s="16">
        <f t="shared" si="12"/>
        <v>280</v>
      </c>
      <c r="I35" s="18" t="s">
        <v>33</v>
      </c>
    </row>
    <row r="36" ht="22.5" customHeight="1">
      <c r="B36" s="19"/>
      <c r="C36" s="19"/>
      <c r="E36" s="20"/>
      <c r="F36" s="21"/>
      <c r="G36" s="16"/>
      <c r="H36" s="16"/>
      <c r="I36" s="22"/>
    </row>
    <row r="37" ht="22.5" customHeight="1">
      <c r="A37" s="10" t="s">
        <v>57</v>
      </c>
      <c r="B37" s="11">
        <v>45778.0</v>
      </c>
      <c r="C37" s="11">
        <v>45781.0</v>
      </c>
      <c r="D37" s="12" t="str">
        <f t="shared" ref="D37:D43" si="13">TEXT(B37 ,"mm (mmmm)")</f>
        <v>05 (mai)</v>
      </c>
      <c r="E37" s="13">
        <f t="shared" ref="E37:E43" si="14">C37-B37</f>
        <v>3</v>
      </c>
      <c r="F37" s="14">
        <v>2.0</v>
      </c>
      <c r="G37" s="15">
        <v>70.0</v>
      </c>
      <c r="H37" s="16">
        <f t="shared" ref="H37:H43" si="15">G37*E37</f>
        <v>210</v>
      </c>
      <c r="I37" s="18" t="s">
        <v>27</v>
      </c>
    </row>
    <row r="38" ht="22.5" customHeight="1">
      <c r="A38" s="10" t="s">
        <v>58</v>
      </c>
      <c r="B38" s="11">
        <v>45784.0</v>
      </c>
      <c r="C38" s="11">
        <v>45786.0</v>
      </c>
      <c r="D38" s="12" t="str">
        <f t="shared" si="13"/>
        <v>05 (mai)</v>
      </c>
      <c r="E38" s="13">
        <f t="shared" si="14"/>
        <v>2</v>
      </c>
      <c r="F38" s="14">
        <v>4.0</v>
      </c>
      <c r="G38" s="15">
        <v>70.0</v>
      </c>
      <c r="H38" s="16">
        <f t="shared" si="15"/>
        <v>140</v>
      </c>
      <c r="I38" s="18" t="s">
        <v>27</v>
      </c>
    </row>
    <row r="39" ht="22.5" customHeight="1">
      <c r="A39" s="10" t="s">
        <v>59</v>
      </c>
      <c r="B39" s="11">
        <v>45786.0</v>
      </c>
      <c r="C39" s="11">
        <v>45789.0</v>
      </c>
      <c r="D39" s="12" t="str">
        <f t="shared" si="13"/>
        <v>05 (mai)</v>
      </c>
      <c r="E39" s="13">
        <f t="shared" si="14"/>
        <v>3</v>
      </c>
      <c r="F39" s="14">
        <v>4.0</v>
      </c>
      <c r="G39" s="15">
        <v>70.0</v>
      </c>
      <c r="H39" s="16">
        <f t="shared" si="15"/>
        <v>210</v>
      </c>
      <c r="I39" s="18" t="s">
        <v>27</v>
      </c>
    </row>
    <row r="40" ht="22.5" customHeight="1">
      <c r="A40" s="10" t="s">
        <v>60</v>
      </c>
      <c r="B40" s="11">
        <v>45789.0</v>
      </c>
      <c r="C40" s="11">
        <v>45792.0</v>
      </c>
      <c r="D40" s="12" t="str">
        <f t="shared" si="13"/>
        <v>05 (mai)</v>
      </c>
      <c r="E40" s="13">
        <f t="shared" si="14"/>
        <v>3</v>
      </c>
      <c r="F40" s="14">
        <v>2.0</v>
      </c>
      <c r="G40" s="15">
        <v>58.0</v>
      </c>
      <c r="H40" s="16">
        <f t="shared" si="15"/>
        <v>174</v>
      </c>
      <c r="I40" s="18" t="s">
        <v>25</v>
      </c>
    </row>
    <row r="41" ht="22.5" customHeight="1">
      <c r="A41" s="10" t="s">
        <v>29</v>
      </c>
      <c r="B41" s="11">
        <v>45793.0</v>
      </c>
      <c r="C41" s="11">
        <v>45795.0</v>
      </c>
      <c r="D41" s="12" t="str">
        <f t="shared" si="13"/>
        <v>05 (mai)</v>
      </c>
      <c r="E41" s="13">
        <f t="shared" si="14"/>
        <v>2</v>
      </c>
      <c r="F41" s="14">
        <v>1.0</v>
      </c>
      <c r="G41" s="15">
        <v>72.0</v>
      </c>
      <c r="H41" s="16">
        <f t="shared" si="15"/>
        <v>144</v>
      </c>
      <c r="I41" s="18" t="s">
        <v>25</v>
      </c>
    </row>
    <row r="42" ht="22.5" customHeight="1">
      <c r="A42" s="10" t="s">
        <v>61</v>
      </c>
      <c r="B42" s="11">
        <v>45798.0</v>
      </c>
      <c r="C42" s="11">
        <v>45799.0</v>
      </c>
      <c r="D42" s="12" t="str">
        <f t="shared" si="13"/>
        <v>05 (mai)</v>
      </c>
      <c r="E42" s="13">
        <f t="shared" si="14"/>
        <v>1</v>
      </c>
      <c r="F42" s="14">
        <v>1.0</v>
      </c>
      <c r="G42" s="15">
        <v>53.0</v>
      </c>
      <c r="H42" s="16">
        <f t="shared" si="15"/>
        <v>53</v>
      </c>
      <c r="I42" s="18" t="s">
        <v>25</v>
      </c>
    </row>
    <row r="43" ht="22.5" customHeight="1">
      <c r="A43" s="10" t="s">
        <v>62</v>
      </c>
      <c r="B43" s="11">
        <v>45805.0</v>
      </c>
      <c r="C43" s="11">
        <v>45809.0</v>
      </c>
      <c r="D43" s="12" t="str">
        <f t="shared" si="13"/>
        <v>05 (mai)</v>
      </c>
      <c r="E43" s="13">
        <f t="shared" si="14"/>
        <v>4</v>
      </c>
      <c r="F43" s="14">
        <v>2.0</v>
      </c>
      <c r="G43" s="15">
        <v>62.0</v>
      </c>
      <c r="H43" s="16">
        <f t="shared" si="15"/>
        <v>248</v>
      </c>
      <c r="I43" s="18" t="s">
        <v>27</v>
      </c>
    </row>
    <row r="44" ht="22.5" customHeight="1">
      <c r="B44" s="19"/>
      <c r="C44" s="19"/>
      <c r="E44" s="20"/>
      <c r="F44" s="21"/>
      <c r="G44" s="16"/>
      <c r="H44" s="16"/>
      <c r="I44" s="22"/>
    </row>
    <row r="45" ht="22.5" customHeight="1">
      <c r="A45" s="10" t="s">
        <v>63</v>
      </c>
      <c r="B45" s="11">
        <v>45814.0</v>
      </c>
      <c r="C45" s="11">
        <v>45817.0</v>
      </c>
      <c r="D45" s="12" t="str">
        <f t="shared" ref="D45:D50" si="16">TEXT(B45 ,"mm (mmmm)")</f>
        <v>06 (juin)</v>
      </c>
      <c r="E45" s="13">
        <f t="shared" ref="E45:E50" si="17">C45-B45</f>
        <v>3</v>
      </c>
      <c r="F45" s="14">
        <v>2.0</v>
      </c>
      <c r="G45" s="15">
        <v>70.0</v>
      </c>
      <c r="H45" s="16">
        <f t="shared" ref="H45:H50" si="18">G45*E45</f>
        <v>210</v>
      </c>
      <c r="I45" s="18" t="s">
        <v>27</v>
      </c>
    </row>
    <row r="46" ht="22.5" customHeight="1">
      <c r="A46" s="10" t="s">
        <v>64</v>
      </c>
      <c r="B46" s="11">
        <v>45818.0</v>
      </c>
      <c r="C46" s="11">
        <v>45823.0</v>
      </c>
      <c r="D46" s="12" t="str">
        <f t="shared" si="16"/>
        <v>06 (juin)</v>
      </c>
      <c r="E46" s="13">
        <f t="shared" si="17"/>
        <v>5</v>
      </c>
      <c r="F46" s="14">
        <v>1.0</v>
      </c>
      <c r="G46" s="15">
        <v>70.0</v>
      </c>
      <c r="H46" s="16">
        <f t="shared" si="18"/>
        <v>350</v>
      </c>
      <c r="I46" s="18" t="s">
        <v>65</v>
      </c>
    </row>
    <row r="47" ht="22.5" customHeight="1">
      <c r="A47" s="10" t="s">
        <v>66</v>
      </c>
      <c r="B47" s="11">
        <v>45823.0</v>
      </c>
      <c r="C47" s="11">
        <v>45829.0</v>
      </c>
      <c r="D47" s="12" t="str">
        <f t="shared" si="16"/>
        <v>06 (juin)</v>
      </c>
      <c r="E47" s="13">
        <f t="shared" si="17"/>
        <v>6</v>
      </c>
      <c r="F47" s="14">
        <v>2.0</v>
      </c>
      <c r="G47" s="15">
        <v>67.0</v>
      </c>
      <c r="H47" s="16">
        <f t="shared" si="18"/>
        <v>402</v>
      </c>
      <c r="I47" s="18" t="s">
        <v>25</v>
      </c>
    </row>
    <row r="48" ht="22.5" customHeight="1">
      <c r="A48" s="10" t="s">
        <v>67</v>
      </c>
      <c r="B48" s="11">
        <v>45830.0</v>
      </c>
      <c r="C48" s="11">
        <v>45832.0</v>
      </c>
      <c r="D48" s="12" t="str">
        <f t="shared" si="16"/>
        <v>06 (juin)</v>
      </c>
      <c r="E48" s="13">
        <f t="shared" si="17"/>
        <v>2</v>
      </c>
      <c r="F48" s="14">
        <v>3.0</v>
      </c>
      <c r="G48" s="15">
        <v>67.0</v>
      </c>
      <c r="H48" s="16">
        <f t="shared" si="18"/>
        <v>134</v>
      </c>
      <c r="I48" s="18" t="s">
        <v>25</v>
      </c>
    </row>
    <row r="49" ht="22.5" customHeight="1">
      <c r="A49" s="10" t="s">
        <v>68</v>
      </c>
      <c r="B49" s="11">
        <v>45835.0</v>
      </c>
      <c r="C49" s="11">
        <v>45836.0</v>
      </c>
      <c r="D49" s="12" t="str">
        <f t="shared" si="16"/>
        <v>06 (juin)</v>
      </c>
      <c r="E49" s="13">
        <f t="shared" si="17"/>
        <v>1</v>
      </c>
      <c r="F49" s="14">
        <v>2.0</v>
      </c>
      <c r="G49" s="15">
        <v>46.0</v>
      </c>
      <c r="H49" s="16">
        <f t="shared" si="18"/>
        <v>46</v>
      </c>
      <c r="I49" s="18" t="s">
        <v>25</v>
      </c>
    </row>
    <row r="50" ht="22.5" customHeight="1">
      <c r="A50" s="10" t="s">
        <v>57</v>
      </c>
      <c r="B50" s="11">
        <v>45836.0</v>
      </c>
      <c r="C50" s="11">
        <v>45839.0</v>
      </c>
      <c r="D50" s="12" t="str">
        <f t="shared" si="16"/>
        <v>06 (juin)</v>
      </c>
      <c r="E50" s="13">
        <f t="shared" si="17"/>
        <v>3</v>
      </c>
      <c r="F50" s="14">
        <v>1.0</v>
      </c>
      <c r="G50" s="15">
        <v>70.0</v>
      </c>
      <c r="H50" s="16">
        <f t="shared" si="18"/>
        <v>210</v>
      </c>
      <c r="I50" s="18" t="s">
        <v>65</v>
      </c>
    </row>
    <row r="51" ht="22.5" customHeight="1">
      <c r="B51" s="19"/>
      <c r="C51" s="19"/>
      <c r="E51" s="20"/>
      <c r="F51" s="21"/>
      <c r="G51" s="16"/>
      <c r="H51" s="16"/>
      <c r="I51" s="22"/>
    </row>
    <row r="52" ht="22.5" customHeight="1">
      <c r="A52" s="10" t="s">
        <v>57</v>
      </c>
      <c r="B52" s="11">
        <v>45839.0</v>
      </c>
      <c r="C52" s="11">
        <v>45848.0</v>
      </c>
      <c r="D52" s="12" t="str">
        <f t="shared" ref="D52:D57" si="19">TEXT(B52 ,"mm (mmmm)")</f>
        <v>07 (juillet)</v>
      </c>
      <c r="E52" s="13">
        <f t="shared" ref="E52:E57" si="20">C52-B52</f>
        <v>9</v>
      </c>
      <c r="F52" s="14">
        <v>1.0</v>
      </c>
      <c r="G52" s="15">
        <v>75.0</v>
      </c>
      <c r="H52" s="16">
        <f t="shared" ref="H52:H57" si="21">G52*E52</f>
        <v>675</v>
      </c>
      <c r="I52" s="18" t="s">
        <v>65</v>
      </c>
    </row>
    <row r="53" ht="22.5" customHeight="1">
      <c r="A53" s="10" t="s">
        <v>69</v>
      </c>
      <c r="B53" s="11">
        <v>45849.0</v>
      </c>
      <c r="C53" s="11">
        <v>45851.0</v>
      </c>
      <c r="D53" s="12" t="str">
        <f t="shared" si="19"/>
        <v>07 (juillet)</v>
      </c>
      <c r="E53" s="13">
        <f t="shared" si="20"/>
        <v>2</v>
      </c>
      <c r="F53" s="14">
        <v>2.0</v>
      </c>
      <c r="G53" s="15">
        <v>50.0</v>
      </c>
      <c r="H53" s="16">
        <f t="shared" si="21"/>
        <v>100</v>
      </c>
      <c r="I53" s="18" t="s">
        <v>25</v>
      </c>
      <c r="J53" s="10" t="s">
        <v>25</v>
      </c>
    </row>
    <row r="54" ht="22.5" customHeight="1">
      <c r="A54" s="10" t="s">
        <v>70</v>
      </c>
      <c r="B54" s="11">
        <v>45851.0</v>
      </c>
      <c r="C54" s="11">
        <v>45858.0</v>
      </c>
      <c r="D54" s="12" t="str">
        <f t="shared" si="19"/>
        <v>07 (juillet)</v>
      </c>
      <c r="E54" s="13">
        <f t="shared" si="20"/>
        <v>7</v>
      </c>
      <c r="F54" s="14">
        <v>2.0</v>
      </c>
      <c r="G54" s="15">
        <v>75.0</v>
      </c>
      <c r="H54" s="16">
        <f t="shared" si="21"/>
        <v>525</v>
      </c>
      <c r="I54" s="18" t="s">
        <v>25</v>
      </c>
    </row>
    <row r="55" ht="22.5" customHeight="1">
      <c r="A55" s="10" t="s">
        <v>71</v>
      </c>
      <c r="B55" s="11">
        <v>45858.0</v>
      </c>
      <c r="C55" s="11">
        <v>45865.0</v>
      </c>
      <c r="D55" s="12" t="str">
        <f t="shared" si="19"/>
        <v>07 (juillet)</v>
      </c>
      <c r="E55" s="13">
        <f t="shared" si="20"/>
        <v>7</v>
      </c>
      <c r="F55" s="14">
        <v>1.0</v>
      </c>
      <c r="G55" s="15">
        <v>70.0</v>
      </c>
      <c r="H55" s="16">
        <f t="shared" si="21"/>
        <v>490</v>
      </c>
      <c r="I55" s="18" t="s">
        <v>65</v>
      </c>
    </row>
    <row r="56" ht="22.5" customHeight="1">
      <c r="A56" s="10" t="s">
        <v>72</v>
      </c>
      <c r="B56" s="11">
        <v>45865.0</v>
      </c>
      <c r="C56" s="11">
        <v>45866.0</v>
      </c>
      <c r="D56" s="12" t="str">
        <f t="shared" si="19"/>
        <v>07 (juillet)</v>
      </c>
      <c r="E56" s="13">
        <f t="shared" si="20"/>
        <v>1</v>
      </c>
      <c r="F56" s="14">
        <v>2.0</v>
      </c>
      <c r="G56" s="15">
        <v>75.0</v>
      </c>
      <c r="H56" s="16">
        <f t="shared" si="21"/>
        <v>75</v>
      </c>
      <c r="I56" s="18" t="s">
        <v>25</v>
      </c>
    </row>
    <row r="57" ht="22.5" customHeight="1">
      <c r="A57" s="10" t="s">
        <v>73</v>
      </c>
      <c r="B57" s="11">
        <v>45866.0</v>
      </c>
      <c r="C57" s="11">
        <v>45870.0</v>
      </c>
      <c r="D57" s="12" t="str">
        <f t="shared" si="19"/>
        <v>07 (juillet)</v>
      </c>
      <c r="E57" s="13">
        <f t="shared" si="20"/>
        <v>4</v>
      </c>
      <c r="F57" s="14">
        <v>2.0</v>
      </c>
      <c r="G57" s="15">
        <v>75.0</v>
      </c>
      <c r="H57" s="16">
        <f t="shared" si="21"/>
        <v>300</v>
      </c>
      <c r="I57" s="18" t="s">
        <v>33</v>
      </c>
    </row>
    <row r="58" ht="22.5" customHeight="1">
      <c r="B58" s="19"/>
      <c r="C58" s="19"/>
      <c r="E58" s="20"/>
      <c r="F58" s="21"/>
      <c r="G58" s="16"/>
      <c r="H58" s="16"/>
      <c r="I58" s="22"/>
    </row>
    <row r="59" ht="22.5" customHeight="1">
      <c r="A59" s="10" t="s">
        <v>73</v>
      </c>
      <c r="B59" s="11">
        <v>45870.0</v>
      </c>
      <c r="C59" s="11">
        <v>45872.0</v>
      </c>
      <c r="D59" s="12" t="str">
        <f t="shared" ref="D59:D63" si="22">TEXT(B59 ,"mm (mmmm)")</f>
        <v>08 (août)</v>
      </c>
      <c r="E59" s="13">
        <f t="shared" ref="E59:E65" si="23">C59-B59</f>
        <v>2</v>
      </c>
      <c r="F59" s="14">
        <v>2.0</v>
      </c>
      <c r="G59" s="15">
        <v>75.0</v>
      </c>
      <c r="H59" s="16">
        <f t="shared" ref="H59:H63" si="24">G59*E59</f>
        <v>150</v>
      </c>
      <c r="I59" s="18" t="s">
        <v>33</v>
      </c>
    </row>
    <row r="60" ht="22.5" customHeight="1">
      <c r="A60" s="10" t="s">
        <v>74</v>
      </c>
      <c r="B60" s="11">
        <v>45872.0</v>
      </c>
      <c r="C60" s="11">
        <v>45875.0</v>
      </c>
      <c r="D60" s="12" t="str">
        <f t="shared" si="22"/>
        <v>08 (août)</v>
      </c>
      <c r="E60" s="13">
        <f t="shared" si="23"/>
        <v>3</v>
      </c>
      <c r="F60" s="14">
        <v>2.0</v>
      </c>
      <c r="G60" s="15">
        <v>75.0</v>
      </c>
      <c r="H60" s="16">
        <f t="shared" si="24"/>
        <v>225</v>
      </c>
      <c r="I60" s="18" t="s">
        <v>25</v>
      </c>
    </row>
    <row r="61" ht="22.5" customHeight="1">
      <c r="A61" s="10" t="s">
        <v>75</v>
      </c>
      <c r="B61" s="11">
        <v>45875.0</v>
      </c>
      <c r="C61" s="11">
        <v>45881.0</v>
      </c>
      <c r="D61" s="12" t="str">
        <f t="shared" si="22"/>
        <v>08 (août)</v>
      </c>
      <c r="E61" s="13">
        <f t="shared" si="23"/>
        <v>6</v>
      </c>
      <c r="F61" s="14">
        <v>1.0</v>
      </c>
      <c r="G61" s="15">
        <v>75.0</v>
      </c>
      <c r="H61" s="16">
        <f t="shared" si="24"/>
        <v>450</v>
      </c>
      <c r="I61" s="18" t="s">
        <v>33</v>
      </c>
    </row>
    <row r="62" ht="22.5" customHeight="1">
      <c r="A62" s="10" t="s">
        <v>76</v>
      </c>
      <c r="B62" s="11">
        <v>45881.0</v>
      </c>
      <c r="C62" s="11">
        <v>45885.0</v>
      </c>
      <c r="D62" s="12" t="str">
        <f t="shared" si="22"/>
        <v>08 (août)</v>
      </c>
      <c r="E62" s="13">
        <f t="shared" si="23"/>
        <v>4</v>
      </c>
      <c r="F62" s="14">
        <v>1.0</v>
      </c>
      <c r="G62" s="15">
        <v>75.0</v>
      </c>
      <c r="H62" s="16">
        <f t="shared" si="24"/>
        <v>300</v>
      </c>
      <c r="I62" s="18" t="s">
        <v>27</v>
      </c>
    </row>
    <row r="63" ht="22.5" customHeight="1">
      <c r="A63" s="10" t="s">
        <v>77</v>
      </c>
      <c r="B63" s="11">
        <v>45885.0</v>
      </c>
      <c r="C63" s="11">
        <v>45893.0</v>
      </c>
      <c r="D63" s="12" t="str">
        <f t="shared" si="22"/>
        <v>08 (août)</v>
      </c>
      <c r="E63" s="13">
        <f t="shared" si="23"/>
        <v>8</v>
      </c>
      <c r="F63" s="14">
        <v>1.0</v>
      </c>
      <c r="G63" s="15">
        <v>75.0</v>
      </c>
      <c r="H63" s="16">
        <f t="shared" si="24"/>
        <v>600</v>
      </c>
      <c r="I63" s="18" t="s">
        <v>27</v>
      </c>
    </row>
    <row r="64" ht="22.5" customHeight="1">
      <c r="A64" s="10" t="s">
        <v>78</v>
      </c>
      <c r="B64" s="11">
        <v>45894.0</v>
      </c>
      <c r="C64" s="11">
        <v>45898.0</v>
      </c>
      <c r="D64" s="23">
        <f>B64</f>
        <v>45894</v>
      </c>
      <c r="E64" s="24">
        <f t="shared" si="23"/>
        <v>4</v>
      </c>
      <c r="F64" s="25">
        <v>2.0</v>
      </c>
      <c r="G64" s="26">
        <v>75.65</v>
      </c>
      <c r="H64" s="26">
        <v>302.6</v>
      </c>
      <c r="I64" s="18" t="s">
        <v>25</v>
      </c>
      <c r="J64" s="28"/>
      <c r="O64" s="10" t="s">
        <v>79</v>
      </c>
    </row>
    <row r="65" ht="22.5" customHeight="1">
      <c r="A65" s="10" t="s">
        <v>80</v>
      </c>
      <c r="B65" s="11">
        <v>45898.0</v>
      </c>
      <c r="C65" s="11">
        <v>45900.0</v>
      </c>
      <c r="D65" s="12" t="str">
        <f>TEXT(B65 ,"mm (mmmm)")</f>
        <v>08 (août)</v>
      </c>
      <c r="E65" s="13">
        <f t="shared" si="23"/>
        <v>2</v>
      </c>
      <c r="F65" s="14">
        <v>2.0</v>
      </c>
      <c r="G65" s="15">
        <v>75.0</v>
      </c>
      <c r="H65" s="16">
        <f>G65*E65</f>
        <v>150</v>
      </c>
      <c r="I65" s="18" t="s">
        <v>25</v>
      </c>
      <c r="J65" s="10" t="s">
        <v>80</v>
      </c>
    </row>
    <row r="66" ht="22.5" customHeight="1">
      <c r="B66" s="19"/>
      <c r="C66" s="19"/>
      <c r="D66" s="23"/>
      <c r="E66" s="24"/>
      <c r="F66" s="27"/>
      <c r="H66" s="16"/>
      <c r="I66" s="22"/>
    </row>
    <row r="67" ht="22.5" customHeight="1">
      <c r="A67" s="10" t="s">
        <v>81</v>
      </c>
      <c r="B67" s="11">
        <v>45905.0</v>
      </c>
      <c r="C67" s="11">
        <v>45907.0</v>
      </c>
      <c r="D67" s="23">
        <f t="shared" ref="D67:D71" si="25">B67</f>
        <v>45905</v>
      </c>
      <c r="E67" s="24">
        <f t="shared" ref="E67:E71" si="26">C67-B67</f>
        <v>2</v>
      </c>
      <c r="F67" s="25">
        <v>1.0</v>
      </c>
      <c r="G67" s="10">
        <v>70.0</v>
      </c>
      <c r="H67" s="16">
        <f t="shared" ref="H67:H71" si="27">G67*E67</f>
        <v>140</v>
      </c>
      <c r="I67" s="18" t="s">
        <v>65</v>
      </c>
      <c r="J67" s="10" t="s">
        <v>82</v>
      </c>
      <c r="K67" s="10" t="s">
        <v>83</v>
      </c>
      <c r="O67" s="10" t="s">
        <v>79</v>
      </c>
    </row>
    <row r="68" ht="22.5" customHeight="1">
      <c r="A68" s="10" t="s">
        <v>64</v>
      </c>
      <c r="B68" s="11">
        <v>45909.0</v>
      </c>
      <c r="C68" s="11">
        <v>45914.0</v>
      </c>
      <c r="D68" s="23">
        <f t="shared" si="25"/>
        <v>45909</v>
      </c>
      <c r="E68" s="24">
        <f t="shared" si="26"/>
        <v>5</v>
      </c>
      <c r="F68" s="25">
        <v>1.0</v>
      </c>
      <c r="G68" s="10">
        <v>70.0</v>
      </c>
      <c r="H68" s="16">
        <f t="shared" si="27"/>
        <v>350</v>
      </c>
      <c r="I68" s="18" t="s">
        <v>65</v>
      </c>
      <c r="J68" s="10" t="s">
        <v>84</v>
      </c>
      <c r="O68" s="10" t="s">
        <v>79</v>
      </c>
    </row>
    <row r="69" ht="22.5" customHeight="1">
      <c r="A69" s="10" t="s">
        <v>85</v>
      </c>
      <c r="B69" s="11">
        <v>45915.0</v>
      </c>
      <c r="C69" s="11">
        <v>45918.0</v>
      </c>
      <c r="D69" s="23">
        <f t="shared" si="25"/>
        <v>45915</v>
      </c>
      <c r="E69" s="24">
        <f t="shared" si="26"/>
        <v>3</v>
      </c>
      <c r="F69" s="25">
        <v>2.0</v>
      </c>
      <c r="G69" s="10">
        <v>50.0</v>
      </c>
      <c r="H69" s="16">
        <f t="shared" si="27"/>
        <v>150</v>
      </c>
      <c r="I69" s="18" t="s">
        <v>25</v>
      </c>
      <c r="J69" s="10"/>
      <c r="K69" s="10"/>
    </row>
    <row r="70" ht="22.5" customHeight="1">
      <c r="A70" s="10" t="s">
        <v>86</v>
      </c>
      <c r="B70" s="11">
        <v>45919.0</v>
      </c>
      <c r="C70" s="11">
        <v>45925.0</v>
      </c>
      <c r="D70" s="23">
        <f t="shared" si="25"/>
        <v>45919</v>
      </c>
      <c r="E70" s="24">
        <f t="shared" si="26"/>
        <v>6</v>
      </c>
      <c r="F70" s="25">
        <v>2.0</v>
      </c>
      <c r="G70" s="10">
        <v>70.0</v>
      </c>
      <c r="H70" s="16">
        <f t="shared" si="27"/>
        <v>420</v>
      </c>
      <c r="I70" s="18" t="s">
        <v>33</v>
      </c>
      <c r="J70" s="10" t="s">
        <v>87</v>
      </c>
      <c r="K70" s="10" t="s">
        <v>88</v>
      </c>
    </row>
    <row r="71" ht="22.5" customHeight="1">
      <c r="A71" s="10" t="s">
        <v>89</v>
      </c>
      <c r="B71" s="11">
        <v>45926.0</v>
      </c>
      <c r="C71" s="11">
        <v>45928.0</v>
      </c>
      <c r="D71" s="23">
        <f t="shared" si="25"/>
        <v>45926</v>
      </c>
      <c r="E71" s="24">
        <f t="shared" si="26"/>
        <v>2</v>
      </c>
      <c r="F71" s="25">
        <v>2.0</v>
      </c>
      <c r="G71" s="26">
        <v>72.25</v>
      </c>
      <c r="H71" s="16">
        <f t="shared" si="27"/>
        <v>144.5</v>
      </c>
      <c r="I71" s="18" t="s">
        <v>25</v>
      </c>
      <c r="O71" s="10" t="s">
        <v>79</v>
      </c>
    </row>
    <row r="72" ht="22.5" customHeight="1">
      <c r="B72" s="19"/>
      <c r="C72" s="19"/>
      <c r="D72" s="23"/>
      <c r="E72" s="24"/>
      <c r="F72" s="27"/>
      <c r="H72" s="16"/>
      <c r="I72" s="22"/>
    </row>
    <row r="73" ht="22.5" customHeight="1">
      <c r="A73" s="10" t="s">
        <v>90</v>
      </c>
      <c r="B73" s="11">
        <v>45931.0</v>
      </c>
      <c r="C73" s="11">
        <v>45935.0</v>
      </c>
      <c r="D73" s="23">
        <f t="shared" ref="D73:D79" si="28">B73</f>
        <v>45931</v>
      </c>
      <c r="E73" s="24">
        <f t="shared" ref="E73:E75" si="29">C73-B73</f>
        <v>4</v>
      </c>
      <c r="F73" s="25">
        <v>2.0</v>
      </c>
      <c r="G73" s="10">
        <v>70.0</v>
      </c>
      <c r="H73" s="16">
        <f>G73*E73</f>
        <v>280</v>
      </c>
      <c r="I73" s="18" t="s">
        <v>27</v>
      </c>
      <c r="J73" s="10" t="s">
        <v>91</v>
      </c>
      <c r="O73" s="10" t="s">
        <v>79</v>
      </c>
    </row>
    <row r="74" ht="22.5" customHeight="1">
      <c r="A74" s="10" t="s">
        <v>92</v>
      </c>
      <c r="B74" s="11">
        <v>45937.0</v>
      </c>
      <c r="C74" s="11">
        <v>45939.0</v>
      </c>
      <c r="D74" s="23">
        <f t="shared" si="28"/>
        <v>45937</v>
      </c>
      <c r="E74" s="20">
        <f t="shared" si="29"/>
        <v>2</v>
      </c>
      <c r="F74" s="29">
        <v>2.0</v>
      </c>
      <c r="G74" s="30">
        <v>58.65</v>
      </c>
      <c r="H74" s="30">
        <v>117.3</v>
      </c>
      <c r="I74" s="18" t="s">
        <v>25</v>
      </c>
      <c r="O74" s="10" t="s">
        <v>93</v>
      </c>
    </row>
    <row r="75" ht="22.5" customHeight="1">
      <c r="A75" s="10" t="s">
        <v>94</v>
      </c>
      <c r="B75" s="11">
        <v>45940.0</v>
      </c>
      <c r="C75" s="11">
        <v>45942.0</v>
      </c>
      <c r="D75" s="23">
        <f t="shared" si="28"/>
        <v>45940</v>
      </c>
      <c r="E75" s="24">
        <f t="shared" si="29"/>
        <v>2</v>
      </c>
      <c r="F75" s="25">
        <v>2.0</v>
      </c>
      <c r="G75" s="10">
        <v>58.0</v>
      </c>
      <c r="H75" s="31">
        <f t="shared" ref="H75:H79" si="30">G75*E75</f>
        <v>116</v>
      </c>
      <c r="I75" s="18" t="s">
        <v>25</v>
      </c>
      <c r="J75" s="10"/>
      <c r="O75" s="10"/>
    </row>
    <row r="76" ht="22.5" customHeight="1">
      <c r="A76" s="10" t="s">
        <v>95</v>
      </c>
      <c r="B76" s="11">
        <v>45947.0</v>
      </c>
      <c r="C76" s="11">
        <v>45952.0</v>
      </c>
      <c r="D76" s="23">
        <f t="shared" si="28"/>
        <v>45947</v>
      </c>
      <c r="E76" s="32">
        <v>5.0</v>
      </c>
      <c r="F76" s="29">
        <v>2.0</v>
      </c>
      <c r="G76" s="30">
        <v>75.0</v>
      </c>
      <c r="H76" s="16">
        <f t="shared" si="30"/>
        <v>375</v>
      </c>
      <c r="I76" s="18" t="s">
        <v>33</v>
      </c>
      <c r="J76" s="10" t="s">
        <v>96</v>
      </c>
      <c r="K76" s="10">
        <v>6.07732059E8</v>
      </c>
      <c r="O76" s="10"/>
    </row>
    <row r="77" ht="22.5" customHeight="1">
      <c r="A77" s="10" t="s">
        <v>97</v>
      </c>
      <c r="B77" s="11">
        <v>45952.0</v>
      </c>
      <c r="C77" s="11">
        <v>45956.0</v>
      </c>
      <c r="D77" s="23">
        <f t="shared" si="28"/>
        <v>45952</v>
      </c>
      <c r="E77" s="20">
        <f t="shared" ref="E77:E79" si="31">C77-B77</f>
        <v>4</v>
      </c>
      <c r="F77" s="29">
        <v>2.0</v>
      </c>
      <c r="G77" s="30">
        <v>75.0</v>
      </c>
      <c r="H77" s="16">
        <f t="shared" si="30"/>
        <v>300</v>
      </c>
      <c r="I77" s="18" t="s">
        <v>33</v>
      </c>
      <c r="J77" s="10" t="s">
        <v>98</v>
      </c>
      <c r="O77" s="10" t="s">
        <v>99</v>
      </c>
    </row>
    <row r="78" ht="22.5" customHeight="1">
      <c r="A78" s="10" t="s">
        <v>100</v>
      </c>
      <c r="B78" s="11">
        <v>45956.0</v>
      </c>
      <c r="C78" s="11">
        <v>45960.0</v>
      </c>
      <c r="D78" s="23">
        <f t="shared" si="28"/>
        <v>45956</v>
      </c>
      <c r="E78" s="24">
        <f t="shared" si="31"/>
        <v>4</v>
      </c>
      <c r="F78" s="25">
        <v>2.0</v>
      </c>
      <c r="G78" s="30">
        <v>75.0</v>
      </c>
      <c r="H78" s="16">
        <f t="shared" si="30"/>
        <v>300</v>
      </c>
      <c r="I78" s="18" t="s">
        <v>33</v>
      </c>
      <c r="J78" s="10" t="s">
        <v>101</v>
      </c>
      <c r="K78" s="10" t="s">
        <v>102</v>
      </c>
      <c r="O78" s="10" t="s">
        <v>93</v>
      </c>
    </row>
    <row r="79" ht="22.5" customHeight="1">
      <c r="A79" s="10" t="s">
        <v>64</v>
      </c>
      <c r="B79" s="11">
        <v>45960.0</v>
      </c>
      <c r="C79" s="11">
        <v>45962.0</v>
      </c>
      <c r="D79" s="23">
        <f t="shared" si="28"/>
        <v>45960</v>
      </c>
      <c r="E79" s="24">
        <f t="shared" si="31"/>
        <v>2</v>
      </c>
      <c r="F79" s="25">
        <v>1.0</v>
      </c>
      <c r="G79" s="10">
        <v>75.0</v>
      </c>
      <c r="H79" s="31">
        <f t="shared" si="30"/>
        <v>150</v>
      </c>
      <c r="I79" s="18" t="s">
        <v>65</v>
      </c>
      <c r="J79" s="10" t="s">
        <v>84</v>
      </c>
      <c r="O79" s="10" t="s">
        <v>40</v>
      </c>
    </row>
    <row r="80" ht="22.5" customHeight="1">
      <c r="B80" s="19"/>
      <c r="C80" s="19"/>
      <c r="D80" s="23"/>
      <c r="E80" s="24"/>
      <c r="F80" s="27"/>
      <c r="H80" s="33"/>
      <c r="I80" s="22"/>
    </row>
    <row r="81" ht="22.5" customHeight="1">
      <c r="A81" s="10" t="s">
        <v>64</v>
      </c>
      <c r="B81" s="11">
        <v>45962.0</v>
      </c>
      <c r="C81" s="11">
        <v>45963.0</v>
      </c>
      <c r="D81" s="23">
        <f t="shared" ref="D81:D82" si="32">B81</f>
        <v>45962</v>
      </c>
      <c r="E81" s="24">
        <f t="shared" ref="E81:E82" si="33">C81-B81</f>
        <v>1</v>
      </c>
      <c r="F81" s="25">
        <v>1.0</v>
      </c>
      <c r="G81" s="26">
        <v>70.0</v>
      </c>
      <c r="H81" s="31">
        <f t="shared" ref="H81:H82" si="34">G81*E81</f>
        <v>70</v>
      </c>
      <c r="I81" s="18" t="s">
        <v>65</v>
      </c>
      <c r="J81" s="10" t="s">
        <v>84</v>
      </c>
      <c r="O81" s="10" t="s">
        <v>40</v>
      </c>
    </row>
    <row r="82" ht="22.5" customHeight="1">
      <c r="A82" s="34" t="s">
        <v>103</v>
      </c>
      <c r="B82" s="35">
        <v>45966.0</v>
      </c>
      <c r="C82" s="35">
        <v>45987.0</v>
      </c>
      <c r="D82" s="36">
        <f t="shared" si="32"/>
        <v>45966</v>
      </c>
      <c r="E82" s="37">
        <f t="shared" si="33"/>
        <v>21</v>
      </c>
      <c r="F82" s="38">
        <v>2.0</v>
      </c>
      <c r="G82" s="34">
        <v>70.0</v>
      </c>
      <c r="H82" s="39">
        <f t="shared" si="34"/>
        <v>1470</v>
      </c>
      <c r="I82" s="40" t="s">
        <v>27</v>
      </c>
      <c r="J82" s="34" t="s">
        <v>104</v>
      </c>
      <c r="O82" s="10" t="s">
        <v>105</v>
      </c>
    </row>
    <row r="83" ht="22.5" customHeight="1">
      <c r="A83" s="28"/>
      <c r="B83" s="19"/>
      <c r="C83" s="19"/>
      <c r="E83" s="20"/>
      <c r="F83" s="21"/>
      <c r="G83" s="16"/>
      <c r="H83" s="16"/>
      <c r="I83" s="22"/>
    </row>
    <row r="84" ht="22.5" customHeight="1">
      <c r="A84" s="10" t="s">
        <v>106</v>
      </c>
      <c r="B84" s="11">
        <v>46003.0</v>
      </c>
      <c r="C84" s="11">
        <v>46006.0</v>
      </c>
      <c r="D84" s="19">
        <f t="shared" ref="D84:D87" si="35">B84</f>
        <v>46003</v>
      </c>
      <c r="E84" s="20">
        <f t="shared" ref="E84:E87" si="36">C84-B84</f>
        <v>3</v>
      </c>
      <c r="F84" s="29">
        <v>2.0</v>
      </c>
      <c r="G84" s="30">
        <v>58.65</v>
      </c>
      <c r="H84" s="30">
        <v>175.95</v>
      </c>
      <c r="I84" s="18" t="s">
        <v>25</v>
      </c>
      <c r="O84" s="10" t="s">
        <v>107</v>
      </c>
    </row>
    <row r="85" ht="22.5" customHeight="1">
      <c r="A85" s="10" t="s">
        <v>108</v>
      </c>
      <c r="B85" s="11">
        <v>46008.0</v>
      </c>
      <c r="C85" s="11">
        <v>46010.0</v>
      </c>
      <c r="D85" s="23">
        <f t="shared" si="35"/>
        <v>46008</v>
      </c>
      <c r="E85" s="24">
        <f t="shared" si="36"/>
        <v>2</v>
      </c>
      <c r="F85" s="25">
        <v>2.0</v>
      </c>
      <c r="G85" s="26">
        <v>71.825</v>
      </c>
      <c r="H85" s="26">
        <v>287.3</v>
      </c>
      <c r="I85" s="18" t="s">
        <v>109</v>
      </c>
      <c r="O85" s="10" t="s">
        <v>107</v>
      </c>
    </row>
    <row r="86" ht="22.5" customHeight="1">
      <c r="A86" s="10" t="s">
        <v>110</v>
      </c>
      <c r="B86" s="11">
        <v>46012.0</v>
      </c>
      <c r="C86" s="11">
        <v>46016.0</v>
      </c>
      <c r="D86" s="23">
        <f t="shared" si="35"/>
        <v>46012</v>
      </c>
      <c r="E86" s="24">
        <f t="shared" si="36"/>
        <v>4</v>
      </c>
      <c r="F86" s="25">
        <v>2.0</v>
      </c>
      <c r="G86" s="26">
        <v>71.825</v>
      </c>
      <c r="H86" s="26">
        <v>287.3</v>
      </c>
      <c r="I86" s="18" t="s">
        <v>25</v>
      </c>
      <c r="O86" s="10" t="s">
        <v>107</v>
      </c>
    </row>
    <row r="87" ht="22.5" customHeight="1">
      <c r="A87" s="10" t="s">
        <v>111</v>
      </c>
      <c r="B87" s="11">
        <v>46020.0</v>
      </c>
      <c r="C87" s="11">
        <v>46022.0</v>
      </c>
      <c r="D87" s="23">
        <f t="shared" si="35"/>
        <v>46020</v>
      </c>
      <c r="E87" s="24">
        <f t="shared" si="36"/>
        <v>2</v>
      </c>
      <c r="F87" s="25">
        <v>2.0</v>
      </c>
      <c r="G87" s="26">
        <v>71.825</v>
      </c>
      <c r="H87" s="26">
        <v>287.3</v>
      </c>
      <c r="I87" s="18" t="s">
        <v>111</v>
      </c>
      <c r="O87" s="10" t="s">
        <v>107</v>
      </c>
    </row>
    <row r="88" ht="22.5" customHeight="1">
      <c r="B88" s="19"/>
      <c r="C88" s="19"/>
      <c r="E88" s="20"/>
      <c r="F88" s="21"/>
      <c r="G88" s="16"/>
      <c r="H88" s="16"/>
      <c r="I88" s="22"/>
    </row>
    <row r="89" ht="22.5" customHeight="1">
      <c r="B89" s="19"/>
      <c r="C89" s="19"/>
      <c r="E89" s="20"/>
      <c r="F89" s="21"/>
      <c r="G89" s="16"/>
      <c r="H89" s="16"/>
      <c r="I89" s="22"/>
    </row>
    <row r="90" ht="22.5" customHeight="1">
      <c r="B90" s="19"/>
      <c r="C90" s="19"/>
      <c r="E90" s="20"/>
      <c r="F90" s="21"/>
      <c r="G90" s="16"/>
      <c r="H90" s="16"/>
      <c r="I90" s="22"/>
    </row>
    <row r="91" ht="22.5" customHeight="1">
      <c r="B91" s="19"/>
      <c r="C91" s="19"/>
      <c r="D91" s="23"/>
      <c r="E91" s="24"/>
      <c r="F91" s="27"/>
      <c r="H91" s="16"/>
      <c r="I91" s="22"/>
    </row>
    <row r="92" ht="22.5" customHeight="1">
      <c r="B92" s="19"/>
      <c r="C92" s="19"/>
      <c r="D92" s="23"/>
      <c r="E92" s="24"/>
      <c r="F92" s="27"/>
      <c r="H92" s="16"/>
      <c r="I92" s="22"/>
    </row>
    <row r="93" ht="22.5" customHeight="1">
      <c r="B93" s="19"/>
      <c r="C93" s="19"/>
      <c r="D93" s="23"/>
      <c r="E93" s="24"/>
      <c r="F93" s="27"/>
      <c r="H93" s="33"/>
      <c r="I93" s="22"/>
    </row>
    <row r="94" ht="22.5" customHeight="1">
      <c r="A94" s="28"/>
      <c r="B94" s="19"/>
      <c r="C94" s="19"/>
      <c r="E94" s="20"/>
      <c r="F94" s="21"/>
      <c r="G94" s="16"/>
      <c r="H94" s="16"/>
      <c r="I94" s="22"/>
    </row>
    <row r="95" ht="22.5" customHeight="1">
      <c r="B95" s="19"/>
      <c r="C95" s="19"/>
      <c r="E95" s="20"/>
      <c r="F95" s="21"/>
      <c r="G95" s="16"/>
      <c r="H95" s="16"/>
      <c r="I95" s="22"/>
    </row>
    <row r="96" ht="22.5" customHeight="1">
      <c r="B96" s="19"/>
      <c r="C96" s="19"/>
      <c r="E96" s="20"/>
      <c r="F96" s="21"/>
      <c r="G96" s="16"/>
      <c r="H96" s="16"/>
      <c r="I96" s="22"/>
    </row>
    <row r="97" ht="22.5" customHeight="1">
      <c r="B97" s="19"/>
      <c r="C97" s="19"/>
      <c r="E97" s="20"/>
      <c r="F97" s="21"/>
      <c r="G97" s="16"/>
      <c r="H97" s="16"/>
      <c r="I97" s="22"/>
    </row>
    <row r="98" ht="22.5" customHeight="1">
      <c r="B98" s="19"/>
      <c r="C98" s="19"/>
      <c r="E98" s="20"/>
      <c r="F98" s="21"/>
      <c r="G98" s="16"/>
      <c r="H98" s="16"/>
      <c r="I98" s="22"/>
    </row>
    <row r="99" ht="22.5" customHeight="1">
      <c r="B99" s="19"/>
      <c r="C99" s="19"/>
      <c r="E99" s="20"/>
      <c r="F99" s="21"/>
      <c r="G99" s="16"/>
      <c r="H99" s="16"/>
      <c r="I99" s="22"/>
    </row>
    <row r="100" ht="22.5" customHeight="1">
      <c r="B100" s="19"/>
      <c r="C100" s="19"/>
      <c r="D100" s="23"/>
      <c r="E100" s="24"/>
      <c r="F100" s="27"/>
      <c r="H100" s="16"/>
      <c r="I100" s="22"/>
    </row>
    <row r="101" ht="22.5" customHeight="1">
      <c r="B101" s="19"/>
      <c r="C101" s="19"/>
      <c r="D101" s="23"/>
      <c r="E101" s="24"/>
      <c r="F101" s="27"/>
      <c r="H101" s="16"/>
      <c r="I101" s="22"/>
    </row>
    <row r="102" ht="22.5" customHeight="1">
      <c r="B102" s="19"/>
      <c r="C102" s="19"/>
      <c r="D102" s="23"/>
      <c r="E102" s="24"/>
      <c r="F102" s="27"/>
      <c r="H102" s="33"/>
      <c r="I102" s="22"/>
    </row>
    <row r="103" ht="22.5" customHeight="1">
      <c r="B103" s="19"/>
      <c r="C103" s="19"/>
      <c r="E103" s="20"/>
      <c r="F103" s="21"/>
      <c r="G103" s="16"/>
      <c r="H103" s="16"/>
      <c r="I103" s="22"/>
    </row>
    <row r="104" ht="22.5" customHeight="1">
      <c r="B104" s="19"/>
      <c r="C104" s="19"/>
      <c r="E104" s="20"/>
      <c r="F104" s="21"/>
      <c r="G104" s="16"/>
      <c r="H104" s="16"/>
      <c r="I104" s="22"/>
    </row>
    <row r="105" ht="22.5" customHeight="1">
      <c r="B105" s="19"/>
      <c r="C105" s="19"/>
      <c r="E105" s="20"/>
      <c r="F105" s="21"/>
      <c r="G105" s="16"/>
      <c r="H105" s="16"/>
      <c r="I105" s="22"/>
    </row>
    <row r="106" ht="22.5" customHeight="1">
      <c r="B106" s="19"/>
      <c r="C106" s="19"/>
      <c r="E106" s="20"/>
      <c r="F106" s="21"/>
      <c r="G106" s="16"/>
      <c r="H106" s="16"/>
      <c r="I106" s="22"/>
    </row>
    <row r="107" ht="22.5" customHeight="1">
      <c r="B107" s="19"/>
      <c r="C107" s="19"/>
      <c r="E107" s="20"/>
      <c r="F107" s="21"/>
      <c r="G107" s="16"/>
      <c r="H107" s="16"/>
      <c r="I107" s="22"/>
    </row>
    <row r="108" ht="22.5" customHeight="1">
      <c r="B108" s="19"/>
      <c r="C108" s="19"/>
      <c r="D108" s="23"/>
      <c r="E108" s="24"/>
      <c r="F108" s="27"/>
      <c r="H108" s="16"/>
      <c r="I108" s="22"/>
    </row>
    <row r="109" ht="22.5" customHeight="1">
      <c r="B109" s="19"/>
      <c r="C109" s="19"/>
      <c r="D109" s="23"/>
      <c r="E109" s="24"/>
      <c r="F109" s="27"/>
      <c r="H109" s="16"/>
      <c r="I109" s="22"/>
    </row>
    <row r="110" ht="22.5" customHeight="1">
      <c r="B110" s="19"/>
      <c r="C110" s="19"/>
      <c r="D110" s="23"/>
      <c r="E110" s="24"/>
      <c r="F110" s="27"/>
      <c r="H110" s="33"/>
      <c r="I110" s="22"/>
    </row>
    <row r="111" ht="22.5" customHeight="1">
      <c r="B111" s="19"/>
      <c r="C111" s="19"/>
      <c r="E111" s="20"/>
      <c r="F111" s="21"/>
      <c r="G111" s="16"/>
      <c r="H111" s="16"/>
      <c r="I111" s="22"/>
    </row>
    <row r="112" ht="22.5" customHeight="1">
      <c r="B112" s="19"/>
      <c r="C112" s="19"/>
      <c r="E112" s="20"/>
      <c r="F112" s="21"/>
      <c r="G112" s="16"/>
      <c r="H112" s="16"/>
      <c r="I112" s="22"/>
    </row>
    <row r="113" ht="22.5" customHeight="1">
      <c r="B113" s="19"/>
      <c r="C113" s="19"/>
      <c r="E113" s="20"/>
      <c r="F113" s="21"/>
      <c r="G113" s="16"/>
      <c r="H113" s="16"/>
      <c r="I113" s="22"/>
    </row>
    <row r="114" ht="22.5" customHeight="1">
      <c r="B114" s="19"/>
      <c r="C114" s="19"/>
      <c r="E114" s="20"/>
      <c r="F114" s="21"/>
      <c r="G114" s="16"/>
      <c r="H114" s="16"/>
      <c r="I114" s="22"/>
    </row>
    <row r="115" ht="22.5" customHeight="1">
      <c r="B115" s="19"/>
      <c r="C115" s="19"/>
      <c r="D115" s="23"/>
      <c r="E115" s="24"/>
      <c r="F115" s="27"/>
      <c r="H115" s="16"/>
      <c r="I115" s="22"/>
    </row>
    <row r="116" ht="22.5" customHeight="1">
      <c r="B116" s="19"/>
      <c r="C116" s="19"/>
      <c r="D116" s="23"/>
      <c r="E116" s="24"/>
      <c r="F116" s="27"/>
      <c r="H116" s="16"/>
      <c r="I116" s="22"/>
    </row>
    <row r="117" ht="22.5" customHeight="1">
      <c r="B117" s="19"/>
      <c r="C117" s="19"/>
      <c r="D117" s="23"/>
      <c r="E117" s="24"/>
      <c r="F117" s="27"/>
      <c r="H117" s="33"/>
      <c r="I117" s="22"/>
    </row>
    <row r="118" ht="22.5" customHeight="1">
      <c r="B118" s="19"/>
      <c r="C118" s="19"/>
      <c r="E118" s="20"/>
      <c r="F118" s="21"/>
      <c r="G118" s="16"/>
      <c r="H118" s="16"/>
      <c r="I118" s="22"/>
    </row>
    <row r="119" ht="22.5" customHeight="1">
      <c r="B119" s="19"/>
      <c r="C119" s="19"/>
      <c r="E119" s="20"/>
      <c r="F119" s="21"/>
      <c r="G119" s="16"/>
      <c r="H119" s="16"/>
      <c r="I119" s="22"/>
    </row>
    <row r="120" ht="22.5" customHeight="1">
      <c r="B120" s="19"/>
      <c r="C120" s="19"/>
      <c r="E120" s="20"/>
      <c r="F120" s="21"/>
      <c r="G120" s="16"/>
      <c r="H120" s="16"/>
      <c r="I120" s="22"/>
    </row>
    <row r="121" ht="22.5" customHeight="1">
      <c r="B121" s="19"/>
      <c r="C121" s="19"/>
      <c r="E121" s="20"/>
      <c r="F121" s="21"/>
      <c r="G121" s="16"/>
      <c r="H121" s="16"/>
      <c r="I121" s="22"/>
    </row>
    <row r="122" ht="22.5" customHeight="1">
      <c r="A122" s="28"/>
      <c r="B122" s="19"/>
      <c r="C122" s="19"/>
      <c r="D122" s="23"/>
      <c r="E122" s="24"/>
      <c r="F122" s="27"/>
      <c r="G122" s="28"/>
      <c r="H122" s="16"/>
      <c r="I122" s="22"/>
      <c r="J122" s="28"/>
    </row>
    <row r="123" ht="22.5" customHeight="1">
      <c r="B123" s="19"/>
      <c r="C123" s="19"/>
      <c r="D123" s="23"/>
      <c r="E123" s="24"/>
      <c r="F123" s="27"/>
      <c r="G123" s="28"/>
      <c r="H123" s="16"/>
      <c r="I123" s="22"/>
      <c r="J123" s="28"/>
    </row>
    <row r="124" ht="22.5" customHeight="1">
      <c r="B124" s="19"/>
      <c r="C124" s="19"/>
      <c r="I124" s="22"/>
    </row>
    <row r="125" ht="22.5" customHeight="1">
      <c r="B125" s="19"/>
      <c r="C125" s="19"/>
      <c r="I125" s="22"/>
    </row>
    <row r="126" ht="22.5" customHeight="1">
      <c r="B126" s="19"/>
      <c r="C126" s="19"/>
      <c r="I126" s="22"/>
    </row>
    <row r="127" ht="22.5" customHeight="1">
      <c r="B127" s="19"/>
      <c r="C127" s="19"/>
      <c r="I127" s="22"/>
    </row>
    <row r="128" ht="22.5" customHeight="1">
      <c r="B128" s="19"/>
      <c r="C128" s="19"/>
      <c r="I128" s="22"/>
    </row>
    <row r="129" ht="22.5" customHeight="1">
      <c r="B129" s="19"/>
      <c r="C129" s="19"/>
      <c r="I129" s="22"/>
    </row>
    <row r="130" ht="22.5" customHeight="1">
      <c r="B130" s="19"/>
      <c r="C130" s="19"/>
      <c r="I130" s="22"/>
    </row>
    <row r="131" ht="22.5" customHeight="1">
      <c r="B131" s="19"/>
      <c r="C131" s="19"/>
      <c r="F131" s="28"/>
      <c r="I131" s="22"/>
    </row>
    <row r="132" ht="22.5" customHeight="1">
      <c r="B132" s="19"/>
      <c r="C132" s="19"/>
      <c r="F132" s="28"/>
      <c r="I132" s="22"/>
    </row>
    <row r="133" ht="22.5" customHeight="1">
      <c r="B133" s="19"/>
      <c r="C133" s="19"/>
      <c r="F133" s="28"/>
      <c r="I133" s="22"/>
    </row>
    <row r="134" ht="22.5" customHeight="1">
      <c r="B134" s="19"/>
      <c r="C134" s="19"/>
      <c r="F134" s="28"/>
      <c r="I134" s="22"/>
    </row>
    <row r="135" ht="22.5" customHeight="1">
      <c r="B135" s="19"/>
      <c r="C135" s="19"/>
      <c r="F135" s="28"/>
      <c r="I135" s="22"/>
    </row>
    <row r="136" ht="22.5" customHeight="1">
      <c r="B136" s="19"/>
      <c r="C136" s="19"/>
      <c r="F136" s="28"/>
      <c r="I136" s="22"/>
    </row>
    <row r="137" ht="22.5" customHeight="1">
      <c r="B137" s="19"/>
      <c r="C137" s="19"/>
      <c r="F137" s="28"/>
      <c r="I137" s="22"/>
    </row>
    <row r="138" ht="22.5" customHeight="1">
      <c r="B138" s="19"/>
      <c r="C138" s="19"/>
      <c r="F138" s="28"/>
      <c r="I138" s="22"/>
    </row>
    <row r="139" ht="22.5" customHeight="1">
      <c r="B139" s="19"/>
      <c r="C139" s="19"/>
      <c r="F139" s="28"/>
      <c r="I139" s="22"/>
    </row>
    <row r="140" ht="22.5" customHeight="1">
      <c r="B140" s="19"/>
      <c r="C140" s="19"/>
      <c r="F140" s="28"/>
      <c r="I140" s="22"/>
    </row>
    <row r="141" ht="22.5" customHeight="1">
      <c r="B141" s="19"/>
      <c r="C141" s="19"/>
      <c r="F141" s="28"/>
      <c r="I141" s="22"/>
    </row>
    <row r="142" ht="22.5" customHeight="1">
      <c r="B142" s="19"/>
      <c r="C142" s="19"/>
      <c r="F142" s="28"/>
      <c r="I142" s="22"/>
    </row>
    <row r="143" ht="22.5" customHeight="1">
      <c r="B143" s="19"/>
      <c r="C143" s="19"/>
      <c r="F143" s="28"/>
      <c r="I143" s="22"/>
    </row>
    <row r="144" ht="22.5" customHeight="1">
      <c r="B144" s="19"/>
      <c r="C144" s="19"/>
      <c r="F144" s="28"/>
      <c r="I144" s="22"/>
    </row>
    <row r="145" ht="22.5" customHeight="1">
      <c r="B145" s="19"/>
      <c r="C145" s="19"/>
      <c r="F145" s="28"/>
      <c r="I145" s="22"/>
    </row>
    <row r="146" ht="22.5" customHeight="1">
      <c r="B146" s="19"/>
      <c r="C146" s="19"/>
      <c r="F146" s="28"/>
      <c r="I146" s="22"/>
    </row>
    <row r="147" ht="22.5" customHeight="1">
      <c r="B147" s="19"/>
      <c r="C147" s="19"/>
      <c r="F147" s="28"/>
      <c r="I147" s="22"/>
    </row>
    <row r="148" ht="22.5" customHeight="1">
      <c r="B148" s="19"/>
      <c r="C148" s="19"/>
      <c r="F148" s="28"/>
      <c r="I148" s="22"/>
    </row>
    <row r="149" ht="22.5" customHeight="1">
      <c r="B149" s="19"/>
      <c r="C149" s="19"/>
      <c r="F149" s="28"/>
      <c r="I149" s="22"/>
    </row>
    <row r="150" ht="22.5" customHeight="1">
      <c r="B150" s="19"/>
      <c r="C150" s="19"/>
      <c r="F150" s="28"/>
      <c r="I150" s="22"/>
    </row>
    <row r="151" ht="22.5" customHeight="1">
      <c r="B151" s="19"/>
      <c r="C151" s="19"/>
      <c r="F151" s="28"/>
      <c r="I151" s="22"/>
    </row>
    <row r="152" ht="22.5" customHeight="1">
      <c r="B152" s="19"/>
      <c r="C152" s="19"/>
      <c r="F152" s="28"/>
      <c r="I152" s="22"/>
    </row>
    <row r="153" ht="22.5" customHeight="1">
      <c r="B153" s="19"/>
      <c r="C153" s="19"/>
      <c r="F153" s="28"/>
      <c r="I153" s="22"/>
    </row>
    <row r="154" ht="22.5" customHeight="1">
      <c r="B154" s="19"/>
      <c r="C154" s="19"/>
      <c r="F154" s="28"/>
      <c r="I154" s="22"/>
    </row>
    <row r="155" ht="22.5" customHeight="1">
      <c r="B155" s="19"/>
      <c r="C155" s="19"/>
      <c r="F155" s="28"/>
      <c r="I155" s="22"/>
    </row>
    <row r="156" ht="22.5" customHeight="1">
      <c r="B156" s="19"/>
      <c r="C156" s="19"/>
      <c r="F156" s="28"/>
      <c r="I156" s="22"/>
    </row>
    <row r="157" ht="22.5" customHeight="1">
      <c r="B157" s="19"/>
      <c r="C157" s="19"/>
      <c r="F157" s="28"/>
      <c r="I157" s="22"/>
    </row>
    <row r="158" ht="22.5" customHeight="1">
      <c r="B158" s="19"/>
      <c r="C158" s="19"/>
      <c r="F158" s="28"/>
      <c r="I158" s="22"/>
    </row>
    <row r="159" ht="22.5" customHeight="1">
      <c r="B159" s="19"/>
      <c r="C159" s="19"/>
      <c r="F159" s="28"/>
      <c r="I159" s="22"/>
    </row>
    <row r="160" ht="22.5" customHeight="1">
      <c r="B160" s="19"/>
      <c r="C160" s="19"/>
      <c r="F160" s="28"/>
      <c r="I160" s="22"/>
    </row>
    <row r="161" ht="22.5" customHeight="1">
      <c r="B161" s="19"/>
      <c r="C161" s="19"/>
      <c r="F161" s="28"/>
      <c r="I161" s="22"/>
    </row>
    <row r="162" ht="22.5" customHeight="1">
      <c r="B162" s="19"/>
      <c r="C162" s="19"/>
      <c r="F162" s="28"/>
      <c r="I162" s="22"/>
    </row>
    <row r="163" ht="22.5" customHeight="1">
      <c r="B163" s="19"/>
      <c r="C163" s="19"/>
      <c r="F163" s="28"/>
      <c r="I163" s="22"/>
    </row>
    <row r="164" ht="22.5" customHeight="1">
      <c r="B164" s="19"/>
      <c r="C164" s="19"/>
      <c r="F164" s="28"/>
      <c r="I164" s="22"/>
    </row>
    <row r="165" ht="22.5" customHeight="1">
      <c r="B165" s="19"/>
      <c r="C165" s="19"/>
      <c r="F165" s="28"/>
      <c r="I165" s="22"/>
    </row>
    <row r="166" ht="22.5" customHeight="1">
      <c r="B166" s="19"/>
      <c r="C166" s="19"/>
      <c r="F166" s="28"/>
      <c r="I166" s="22"/>
    </row>
    <row r="167" ht="22.5" customHeight="1">
      <c r="B167" s="19"/>
      <c r="C167" s="19"/>
      <c r="F167" s="28"/>
      <c r="I167" s="22"/>
    </row>
    <row r="168" ht="22.5" customHeight="1">
      <c r="B168" s="19"/>
      <c r="C168" s="19"/>
      <c r="F168" s="28"/>
      <c r="I168" s="22"/>
    </row>
    <row r="169" ht="22.5" customHeight="1">
      <c r="B169" s="19"/>
      <c r="C169" s="19"/>
      <c r="F169" s="28"/>
      <c r="I169" s="22"/>
    </row>
    <row r="170" ht="22.5" customHeight="1">
      <c r="B170" s="19"/>
      <c r="C170" s="19"/>
      <c r="F170" s="28"/>
      <c r="I170" s="22"/>
    </row>
    <row r="171" ht="22.5" customHeight="1">
      <c r="B171" s="19"/>
      <c r="C171" s="19"/>
      <c r="F171" s="28"/>
      <c r="I171" s="22"/>
    </row>
    <row r="172" ht="22.5" customHeight="1">
      <c r="B172" s="19"/>
      <c r="C172" s="19"/>
      <c r="F172" s="28"/>
      <c r="I172" s="22"/>
    </row>
    <row r="173" ht="22.5" customHeight="1">
      <c r="B173" s="19"/>
      <c r="C173" s="19"/>
      <c r="F173" s="28"/>
      <c r="I173" s="22"/>
    </row>
    <row r="174" ht="22.5" customHeight="1">
      <c r="B174" s="19"/>
      <c r="C174" s="19"/>
      <c r="F174" s="28"/>
      <c r="I174" s="22"/>
    </row>
    <row r="175" ht="22.5" customHeight="1">
      <c r="B175" s="19"/>
      <c r="C175" s="19"/>
      <c r="F175" s="28"/>
      <c r="I175" s="22"/>
    </row>
    <row r="176" ht="22.5" customHeight="1">
      <c r="B176" s="19"/>
      <c r="C176" s="19"/>
      <c r="F176" s="28"/>
      <c r="I176" s="22"/>
    </row>
    <row r="177" ht="22.5" customHeight="1">
      <c r="B177" s="19"/>
      <c r="C177" s="19"/>
      <c r="F177" s="28"/>
      <c r="I177" s="22"/>
    </row>
    <row r="178" ht="22.5" customHeight="1">
      <c r="B178" s="19"/>
      <c r="C178" s="19"/>
      <c r="F178" s="28"/>
      <c r="I178" s="22"/>
    </row>
    <row r="179" ht="22.5" customHeight="1">
      <c r="B179" s="19"/>
      <c r="C179" s="19"/>
      <c r="F179" s="28"/>
      <c r="I179" s="22"/>
    </row>
    <row r="180" ht="22.5" customHeight="1">
      <c r="B180" s="19"/>
      <c r="C180" s="19"/>
      <c r="F180" s="28"/>
      <c r="I180" s="22"/>
    </row>
    <row r="181" ht="22.5" customHeight="1">
      <c r="B181" s="19"/>
      <c r="C181" s="19"/>
      <c r="F181" s="28"/>
      <c r="I181" s="22"/>
    </row>
    <row r="182" ht="22.5" customHeight="1">
      <c r="B182" s="19"/>
      <c r="C182" s="19"/>
      <c r="F182" s="28"/>
      <c r="I182" s="22"/>
    </row>
    <row r="183" ht="22.5" customHeight="1">
      <c r="B183" s="19"/>
      <c r="C183" s="19"/>
      <c r="F183" s="28"/>
      <c r="I183" s="22"/>
    </row>
    <row r="184" ht="22.5" customHeight="1">
      <c r="B184" s="19"/>
      <c r="C184" s="19"/>
      <c r="F184" s="28"/>
      <c r="I184" s="22"/>
    </row>
    <row r="185" ht="22.5" customHeight="1">
      <c r="B185" s="19"/>
      <c r="C185" s="19"/>
      <c r="F185" s="28"/>
      <c r="I185" s="22"/>
    </row>
    <row r="186" ht="22.5" customHeight="1">
      <c r="B186" s="19"/>
      <c r="C186" s="19"/>
      <c r="F186" s="28"/>
      <c r="I186" s="22"/>
    </row>
    <row r="187" ht="22.5" customHeight="1">
      <c r="B187" s="19"/>
      <c r="C187" s="19"/>
      <c r="F187" s="28"/>
      <c r="I187" s="22"/>
    </row>
    <row r="188" ht="22.5" customHeight="1">
      <c r="B188" s="19"/>
      <c r="C188" s="19"/>
      <c r="F188" s="28"/>
      <c r="I188" s="22"/>
    </row>
    <row r="189" ht="22.5" customHeight="1">
      <c r="B189" s="19"/>
      <c r="C189" s="19"/>
      <c r="F189" s="28"/>
      <c r="I189" s="22"/>
    </row>
    <row r="190" ht="22.5" customHeight="1">
      <c r="B190" s="19"/>
      <c r="C190" s="19"/>
      <c r="F190" s="28"/>
      <c r="I190" s="22"/>
    </row>
    <row r="191" ht="22.5" customHeight="1">
      <c r="B191" s="19"/>
      <c r="C191" s="19"/>
      <c r="F191" s="28"/>
      <c r="I191" s="22"/>
    </row>
    <row r="192" ht="22.5" customHeight="1">
      <c r="B192" s="19"/>
      <c r="C192" s="19"/>
      <c r="F192" s="28"/>
      <c r="I192" s="22"/>
    </row>
    <row r="193" ht="22.5" customHeight="1">
      <c r="B193" s="19"/>
      <c r="C193" s="19"/>
      <c r="F193" s="28"/>
      <c r="I193" s="22"/>
    </row>
    <row r="194" ht="22.5" customHeight="1">
      <c r="B194" s="19"/>
      <c r="C194" s="19"/>
      <c r="F194" s="28"/>
      <c r="I194" s="22"/>
    </row>
    <row r="195" ht="22.5" customHeight="1">
      <c r="B195" s="19"/>
      <c r="C195" s="19"/>
      <c r="F195" s="28"/>
      <c r="I195" s="22"/>
    </row>
    <row r="196" ht="22.5" customHeight="1">
      <c r="B196" s="19"/>
      <c r="C196" s="19"/>
      <c r="F196" s="28"/>
      <c r="I196" s="22"/>
    </row>
    <row r="197" ht="22.5" customHeight="1">
      <c r="B197" s="19"/>
      <c r="C197" s="19"/>
      <c r="F197" s="28"/>
      <c r="I197" s="22"/>
    </row>
    <row r="198" ht="22.5" customHeight="1">
      <c r="B198" s="19"/>
      <c r="C198" s="19"/>
      <c r="F198" s="28"/>
      <c r="I198" s="22"/>
    </row>
    <row r="199" ht="22.5" customHeight="1">
      <c r="B199" s="19"/>
      <c r="C199" s="19"/>
      <c r="F199" s="28"/>
      <c r="I199" s="22"/>
    </row>
    <row r="200" ht="22.5" customHeight="1">
      <c r="B200" s="19"/>
      <c r="C200" s="19"/>
      <c r="F200" s="28"/>
      <c r="I200" s="22"/>
    </row>
    <row r="201" ht="22.5" customHeight="1">
      <c r="B201" s="19"/>
      <c r="C201" s="19"/>
      <c r="F201" s="28"/>
      <c r="I201" s="22"/>
    </row>
    <row r="202" ht="22.5" customHeight="1">
      <c r="B202" s="19"/>
      <c r="C202" s="19"/>
      <c r="F202" s="28"/>
      <c r="I202" s="22"/>
    </row>
    <row r="203" ht="22.5" customHeight="1">
      <c r="B203" s="19"/>
      <c r="C203" s="19"/>
      <c r="F203" s="28"/>
      <c r="I203" s="22"/>
    </row>
    <row r="204" ht="22.5" customHeight="1">
      <c r="B204" s="19"/>
      <c r="C204" s="19"/>
      <c r="F204" s="28"/>
      <c r="I204" s="22"/>
    </row>
    <row r="205" ht="22.5" customHeight="1">
      <c r="B205" s="19"/>
      <c r="C205" s="19"/>
      <c r="F205" s="28"/>
      <c r="I205" s="22"/>
    </row>
    <row r="206" ht="22.5" customHeight="1">
      <c r="B206" s="19"/>
      <c r="C206" s="19"/>
      <c r="F206" s="28"/>
      <c r="I206" s="22"/>
    </row>
    <row r="207" ht="22.5" customHeight="1">
      <c r="B207" s="19"/>
      <c r="C207" s="19"/>
      <c r="F207" s="28"/>
      <c r="I207" s="22"/>
    </row>
    <row r="208" ht="22.5" customHeight="1">
      <c r="B208" s="19"/>
      <c r="C208" s="19"/>
      <c r="F208" s="28"/>
      <c r="I208" s="22"/>
    </row>
    <row r="209" ht="22.5" customHeight="1">
      <c r="B209" s="19"/>
      <c r="C209" s="19"/>
      <c r="F209" s="28"/>
      <c r="I209" s="22"/>
    </row>
    <row r="210" ht="22.5" customHeight="1">
      <c r="B210" s="19"/>
      <c r="C210" s="19"/>
      <c r="F210" s="28"/>
      <c r="I210" s="22"/>
    </row>
    <row r="211" ht="22.5" customHeight="1">
      <c r="B211" s="19"/>
      <c r="C211" s="19"/>
      <c r="F211" s="28"/>
      <c r="I211" s="22"/>
    </row>
    <row r="212" ht="22.5" customHeight="1">
      <c r="B212" s="19"/>
      <c r="C212" s="19"/>
      <c r="F212" s="28"/>
      <c r="I212" s="22"/>
    </row>
    <row r="213" ht="22.5" customHeight="1">
      <c r="B213" s="19"/>
      <c r="C213" s="19"/>
      <c r="F213" s="28"/>
      <c r="I213" s="22"/>
    </row>
    <row r="214" ht="22.5" customHeight="1">
      <c r="B214" s="19"/>
      <c r="C214" s="19"/>
      <c r="F214" s="28"/>
      <c r="I214" s="22"/>
    </row>
    <row r="215" ht="22.5" customHeight="1">
      <c r="B215" s="19"/>
      <c r="C215" s="19"/>
      <c r="F215" s="28"/>
      <c r="I215" s="22"/>
    </row>
    <row r="216" ht="22.5" customHeight="1">
      <c r="B216" s="19"/>
      <c r="C216" s="19"/>
      <c r="F216" s="28"/>
      <c r="I216" s="22"/>
    </row>
    <row r="217" ht="22.5" customHeight="1">
      <c r="B217" s="19"/>
      <c r="C217" s="19"/>
      <c r="F217" s="28"/>
      <c r="I217" s="22"/>
    </row>
    <row r="218" ht="22.5" customHeight="1">
      <c r="B218" s="19"/>
      <c r="C218" s="19"/>
      <c r="F218" s="28"/>
      <c r="I218" s="22"/>
    </row>
    <row r="219" ht="22.5" customHeight="1">
      <c r="B219" s="19"/>
      <c r="C219" s="19"/>
      <c r="F219" s="28"/>
      <c r="I219" s="22"/>
    </row>
    <row r="220" ht="22.5" customHeight="1">
      <c r="B220" s="19"/>
      <c r="C220" s="19"/>
      <c r="F220" s="28"/>
      <c r="I220" s="22"/>
    </row>
    <row r="221" ht="22.5" customHeight="1">
      <c r="B221" s="19"/>
      <c r="C221" s="19"/>
      <c r="F221" s="28"/>
      <c r="I221" s="22"/>
    </row>
    <row r="222" ht="22.5" customHeight="1">
      <c r="B222" s="19"/>
      <c r="C222" s="19"/>
      <c r="F222" s="28"/>
      <c r="I222" s="22"/>
    </row>
    <row r="223" ht="22.5" customHeight="1">
      <c r="B223" s="19"/>
      <c r="C223" s="19"/>
      <c r="F223" s="28"/>
      <c r="I223" s="22"/>
    </row>
    <row r="224" ht="22.5" customHeight="1">
      <c r="B224" s="19"/>
      <c r="C224" s="19"/>
      <c r="F224" s="28"/>
      <c r="I224" s="22"/>
    </row>
    <row r="225" ht="22.5" customHeight="1">
      <c r="B225" s="19"/>
      <c r="C225" s="19"/>
      <c r="F225" s="28"/>
      <c r="I225" s="22"/>
    </row>
    <row r="226" ht="22.5" customHeight="1">
      <c r="B226" s="19"/>
      <c r="C226" s="19"/>
      <c r="F226" s="28"/>
      <c r="I226" s="22"/>
    </row>
    <row r="227" ht="22.5" customHeight="1">
      <c r="B227" s="19"/>
      <c r="C227" s="19"/>
      <c r="F227" s="28"/>
      <c r="I227" s="22"/>
    </row>
    <row r="228" ht="22.5" customHeight="1">
      <c r="B228" s="19"/>
      <c r="C228" s="19"/>
      <c r="F228" s="28"/>
      <c r="I228" s="22"/>
    </row>
    <row r="229" ht="22.5" customHeight="1">
      <c r="B229" s="19"/>
      <c r="C229" s="19"/>
      <c r="F229" s="28"/>
      <c r="I229" s="22"/>
    </row>
    <row r="230" ht="22.5" customHeight="1">
      <c r="B230" s="19"/>
      <c r="C230" s="19"/>
      <c r="F230" s="28"/>
      <c r="I230" s="22"/>
    </row>
    <row r="231" ht="22.5" customHeight="1">
      <c r="B231" s="19"/>
      <c r="C231" s="19"/>
      <c r="F231" s="28"/>
      <c r="I231" s="22"/>
    </row>
    <row r="232" ht="22.5" customHeight="1">
      <c r="B232" s="19"/>
      <c r="C232" s="19"/>
      <c r="F232" s="28"/>
      <c r="I232" s="22"/>
    </row>
    <row r="233" ht="22.5" customHeight="1">
      <c r="B233" s="19"/>
      <c r="C233" s="19"/>
      <c r="F233" s="28"/>
      <c r="I233" s="22"/>
    </row>
    <row r="234" ht="22.5" customHeight="1">
      <c r="B234" s="19"/>
      <c r="C234" s="19"/>
      <c r="F234" s="28"/>
      <c r="I234" s="22"/>
    </row>
    <row r="235" ht="22.5" customHeight="1">
      <c r="B235" s="19"/>
      <c r="C235" s="19"/>
      <c r="F235" s="28"/>
      <c r="I235" s="22"/>
    </row>
    <row r="236" ht="22.5" customHeight="1">
      <c r="B236" s="19"/>
      <c r="C236" s="19"/>
      <c r="F236" s="28"/>
      <c r="I236" s="22"/>
    </row>
    <row r="237" ht="22.5" customHeight="1">
      <c r="B237" s="19"/>
      <c r="C237" s="19"/>
      <c r="F237" s="28"/>
      <c r="I237" s="22"/>
    </row>
    <row r="238" ht="22.5" customHeight="1">
      <c r="B238" s="19"/>
      <c r="C238" s="19"/>
      <c r="F238" s="28"/>
      <c r="I238" s="22"/>
    </row>
    <row r="239" ht="22.5" customHeight="1">
      <c r="B239" s="19"/>
      <c r="C239" s="19"/>
      <c r="F239" s="28"/>
      <c r="I239" s="22"/>
    </row>
    <row r="240" ht="22.5" customHeight="1">
      <c r="B240" s="19"/>
      <c r="C240" s="19"/>
      <c r="F240" s="28"/>
      <c r="I240" s="22"/>
    </row>
    <row r="241" ht="22.5" customHeight="1">
      <c r="B241" s="19"/>
      <c r="C241" s="19"/>
      <c r="F241" s="28"/>
      <c r="I241" s="22"/>
    </row>
    <row r="242" ht="22.5" customHeight="1">
      <c r="B242" s="19"/>
      <c r="C242" s="19"/>
      <c r="F242" s="28"/>
      <c r="I242" s="22"/>
    </row>
    <row r="243" ht="22.5" customHeight="1">
      <c r="B243" s="19"/>
      <c r="C243" s="19"/>
      <c r="F243" s="28"/>
      <c r="I243" s="22"/>
    </row>
    <row r="244" ht="22.5" customHeight="1">
      <c r="B244" s="19"/>
      <c r="C244" s="19"/>
      <c r="F244" s="28"/>
      <c r="I244" s="22"/>
    </row>
    <row r="245" ht="22.5" customHeight="1">
      <c r="B245" s="19"/>
      <c r="C245" s="19"/>
      <c r="F245" s="28"/>
      <c r="I245" s="22"/>
    </row>
    <row r="246" ht="22.5" customHeight="1">
      <c r="B246" s="19"/>
      <c r="C246" s="19"/>
      <c r="F246" s="28"/>
      <c r="I246" s="22"/>
    </row>
    <row r="247" ht="22.5" customHeight="1">
      <c r="B247" s="19"/>
      <c r="C247" s="19"/>
      <c r="F247" s="28"/>
      <c r="I247" s="22"/>
    </row>
    <row r="248" ht="22.5" customHeight="1">
      <c r="B248" s="19"/>
      <c r="C248" s="19"/>
      <c r="F248" s="28"/>
      <c r="I248" s="22"/>
    </row>
    <row r="249" ht="22.5" customHeight="1">
      <c r="B249" s="19"/>
      <c r="C249" s="19"/>
      <c r="F249" s="28"/>
      <c r="I249" s="22"/>
    </row>
    <row r="250" ht="22.5" customHeight="1">
      <c r="B250" s="19"/>
      <c r="C250" s="19"/>
      <c r="F250" s="28"/>
      <c r="I250" s="22"/>
    </row>
    <row r="251" ht="22.5" customHeight="1">
      <c r="B251" s="19"/>
      <c r="C251" s="19"/>
      <c r="F251" s="28"/>
      <c r="I251" s="22"/>
    </row>
    <row r="252" ht="22.5" customHeight="1">
      <c r="B252" s="19"/>
      <c r="C252" s="19"/>
      <c r="F252" s="28"/>
      <c r="I252" s="22"/>
    </row>
    <row r="253" ht="22.5" customHeight="1">
      <c r="B253" s="19"/>
      <c r="C253" s="19"/>
      <c r="F253" s="28"/>
      <c r="I253" s="22"/>
    </row>
    <row r="254" ht="22.5" customHeight="1">
      <c r="B254" s="19"/>
      <c r="C254" s="19"/>
      <c r="F254" s="28"/>
      <c r="I254" s="22"/>
    </row>
    <row r="255" ht="22.5" customHeight="1">
      <c r="B255" s="19"/>
      <c r="C255" s="19"/>
      <c r="F255" s="28"/>
      <c r="I255" s="22"/>
    </row>
    <row r="256" ht="22.5" customHeight="1">
      <c r="B256" s="19"/>
      <c r="C256" s="19"/>
      <c r="F256" s="28"/>
      <c r="I256" s="22"/>
    </row>
    <row r="257" ht="22.5" customHeight="1">
      <c r="B257" s="19"/>
      <c r="C257" s="19"/>
      <c r="F257" s="28"/>
      <c r="I257" s="22"/>
    </row>
    <row r="258" ht="22.5" customHeight="1">
      <c r="B258" s="19"/>
      <c r="C258" s="19"/>
      <c r="F258" s="28"/>
      <c r="I258" s="22"/>
    </row>
    <row r="259" ht="22.5" customHeight="1">
      <c r="B259" s="19"/>
      <c r="C259" s="19"/>
      <c r="F259" s="28"/>
      <c r="I259" s="22"/>
    </row>
    <row r="260" ht="22.5" customHeight="1">
      <c r="B260" s="19"/>
      <c r="C260" s="19"/>
      <c r="F260" s="28"/>
      <c r="I260" s="22"/>
    </row>
    <row r="261" ht="22.5" customHeight="1">
      <c r="B261" s="19"/>
      <c r="C261" s="19"/>
      <c r="F261" s="28"/>
      <c r="I261" s="22"/>
    </row>
    <row r="262" ht="22.5" customHeight="1">
      <c r="B262" s="19"/>
      <c r="C262" s="19"/>
      <c r="F262" s="28"/>
      <c r="I262" s="22"/>
    </row>
    <row r="263" ht="22.5" customHeight="1">
      <c r="B263" s="19"/>
      <c r="C263" s="19"/>
      <c r="F263" s="28"/>
      <c r="I263" s="22"/>
    </row>
    <row r="264" ht="22.5" customHeight="1">
      <c r="B264" s="19"/>
      <c r="C264" s="19"/>
      <c r="F264" s="28"/>
      <c r="I264" s="22"/>
    </row>
    <row r="265" ht="22.5" customHeight="1">
      <c r="B265" s="19"/>
      <c r="C265" s="19"/>
      <c r="F265" s="28"/>
      <c r="I265" s="22"/>
    </row>
    <row r="266" ht="22.5" customHeight="1">
      <c r="B266" s="19"/>
      <c r="C266" s="19"/>
      <c r="F266" s="28"/>
      <c r="I266" s="22"/>
    </row>
    <row r="267" ht="22.5" customHeight="1">
      <c r="B267" s="19"/>
      <c r="C267" s="19"/>
      <c r="F267" s="28"/>
      <c r="I267" s="22"/>
    </row>
    <row r="268" ht="22.5" customHeight="1">
      <c r="B268" s="19"/>
      <c r="C268" s="19"/>
      <c r="F268" s="28"/>
      <c r="I268" s="22"/>
    </row>
    <row r="269" ht="22.5" customHeight="1">
      <c r="B269" s="19"/>
      <c r="C269" s="19"/>
      <c r="F269" s="28"/>
      <c r="I269" s="22"/>
    </row>
    <row r="270" ht="22.5" customHeight="1">
      <c r="B270" s="19"/>
      <c r="C270" s="19"/>
      <c r="F270" s="28"/>
      <c r="I270" s="22"/>
    </row>
    <row r="271" ht="22.5" customHeight="1">
      <c r="B271" s="19"/>
      <c r="C271" s="19"/>
      <c r="F271" s="28"/>
      <c r="I271" s="22"/>
    </row>
    <row r="272" ht="22.5" customHeight="1">
      <c r="B272" s="19"/>
      <c r="C272" s="19"/>
      <c r="F272" s="28"/>
      <c r="I272" s="22"/>
    </row>
    <row r="273" ht="22.5" customHeight="1">
      <c r="B273" s="19"/>
      <c r="C273" s="19"/>
      <c r="F273" s="28"/>
      <c r="I273" s="22"/>
    </row>
    <row r="274" ht="22.5" customHeight="1">
      <c r="B274" s="19"/>
      <c r="C274" s="19"/>
      <c r="F274" s="28"/>
      <c r="I274" s="22"/>
    </row>
    <row r="275" ht="22.5" customHeight="1">
      <c r="B275" s="19"/>
      <c r="C275" s="19"/>
      <c r="F275" s="28"/>
      <c r="I275" s="22"/>
    </row>
    <row r="276" ht="22.5" customHeight="1">
      <c r="B276" s="19"/>
      <c r="C276" s="19"/>
      <c r="F276" s="28"/>
      <c r="I276" s="22"/>
    </row>
    <row r="277" ht="22.5" customHeight="1">
      <c r="B277" s="19"/>
      <c r="C277" s="19"/>
      <c r="F277" s="28"/>
      <c r="I277" s="22"/>
    </row>
    <row r="278" ht="22.5" customHeight="1">
      <c r="B278" s="19"/>
      <c r="C278" s="19"/>
      <c r="F278" s="28"/>
      <c r="I278" s="22"/>
    </row>
    <row r="279" ht="22.5" customHeight="1">
      <c r="B279" s="19"/>
      <c r="C279" s="19"/>
      <c r="F279" s="28"/>
      <c r="I279" s="22"/>
    </row>
    <row r="280" ht="22.5" customHeight="1">
      <c r="B280" s="19"/>
      <c r="C280" s="19"/>
      <c r="F280" s="28"/>
      <c r="I280" s="22"/>
    </row>
    <row r="281" ht="22.5" customHeight="1">
      <c r="B281" s="19"/>
      <c r="C281" s="19"/>
      <c r="F281" s="28"/>
      <c r="I281" s="22"/>
    </row>
    <row r="282" ht="22.5" customHeight="1">
      <c r="B282" s="19"/>
      <c r="C282" s="19"/>
      <c r="F282" s="28"/>
      <c r="I282" s="22"/>
    </row>
    <row r="283" ht="22.5" customHeight="1">
      <c r="B283" s="19"/>
      <c r="C283" s="19"/>
      <c r="F283" s="28"/>
      <c r="I283" s="22"/>
    </row>
    <row r="284" ht="22.5" customHeight="1">
      <c r="B284" s="19"/>
      <c r="C284" s="19"/>
      <c r="F284" s="28"/>
      <c r="I284" s="22"/>
    </row>
    <row r="285" ht="22.5" customHeight="1">
      <c r="B285" s="19"/>
      <c r="C285" s="19"/>
      <c r="F285" s="28"/>
      <c r="I285" s="22"/>
    </row>
    <row r="286" ht="22.5" customHeight="1">
      <c r="B286" s="19"/>
      <c r="C286" s="19"/>
      <c r="F286" s="28"/>
      <c r="I286" s="22"/>
    </row>
    <row r="287" ht="22.5" customHeight="1">
      <c r="B287" s="19"/>
      <c r="C287" s="19"/>
      <c r="F287" s="28"/>
      <c r="I287" s="22"/>
    </row>
    <row r="288" ht="22.5" customHeight="1">
      <c r="B288" s="19"/>
      <c r="C288" s="19"/>
      <c r="F288" s="28"/>
      <c r="I288" s="22"/>
    </row>
    <row r="289" ht="22.5" customHeight="1">
      <c r="B289" s="19"/>
      <c r="C289" s="19"/>
      <c r="F289" s="28"/>
      <c r="I289" s="22"/>
    </row>
    <row r="290" ht="22.5" customHeight="1">
      <c r="B290" s="19"/>
      <c r="C290" s="19"/>
      <c r="F290" s="28"/>
      <c r="I290" s="22"/>
    </row>
    <row r="291" ht="22.5" customHeight="1">
      <c r="B291" s="19"/>
      <c r="C291" s="19"/>
      <c r="F291" s="28"/>
      <c r="I291" s="22"/>
    </row>
    <row r="292" ht="22.5" customHeight="1">
      <c r="B292" s="19"/>
      <c r="C292" s="19"/>
      <c r="F292" s="28"/>
      <c r="I292" s="22"/>
    </row>
    <row r="293" ht="22.5" customHeight="1">
      <c r="B293" s="19"/>
      <c r="C293" s="19"/>
      <c r="F293" s="28"/>
      <c r="I293" s="22"/>
    </row>
    <row r="294" ht="22.5" customHeight="1">
      <c r="B294" s="19"/>
      <c r="C294" s="19"/>
      <c r="F294" s="28"/>
      <c r="I294" s="22"/>
    </row>
    <row r="295" ht="22.5" customHeight="1">
      <c r="B295" s="19"/>
      <c r="C295" s="19"/>
      <c r="F295" s="28"/>
      <c r="I295" s="22"/>
    </row>
    <row r="296" ht="22.5" customHeight="1">
      <c r="B296" s="19"/>
      <c r="C296" s="19"/>
      <c r="F296" s="28"/>
      <c r="I296" s="22"/>
    </row>
    <row r="297" ht="22.5" customHeight="1">
      <c r="B297" s="19"/>
      <c r="C297" s="19"/>
      <c r="F297" s="28"/>
      <c r="I297" s="22"/>
    </row>
    <row r="298" ht="22.5" customHeight="1">
      <c r="B298" s="19"/>
      <c r="C298" s="19"/>
      <c r="F298" s="28"/>
      <c r="I298" s="22"/>
    </row>
    <row r="299" ht="22.5" customHeight="1">
      <c r="B299" s="19"/>
      <c r="C299" s="19"/>
      <c r="F299" s="28"/>
      <c r="I299" s="22"/>
    </row>
    <row r="300" ht="22.5" customHeight="1">
      <c r="B300" s="19"/>
      <c r="C300" s="19"/>
      <c r="F300" s="28"/>
      <c r="I300" s="22"/>
    </row>
    <row r="301" ht="22.5" customHeight="1">
      <c r="B301" s="19"/>
      <c r="C301" s="19"/>
      <c r="F301" s="28"/>
      <c r="I301" s="22"/>
    </row>
    <row r="302" ht="22.5" customHeight="1">
      <c r="B302" s="19"/>
      <c r="C302" s="19"/>
      <c r="F302" s="28"/>
      <c r="I302" s="22"/>
    </row>
    <row r="303" ht="22.5" customHeight="1">
      <c r="B303" s="19"/>
      <c r="C303" s="19"/>
      <c r="F303" s="28"/>
      <c r="I303" s="22"/>
    </row>
    <row r="304" ht="22.5" customHeight="1">
      <c r="B304" s="19"/>
      <c r="C304" s="19"/>
      <c r="F304" s="28"/>
      <c r="I304" s="22"/>
    </row>
    <row r="305" ht="22.5" customHeight="1">
      <c r="B305" s="19"/>
      <c r="C305" s="19"/>
      <c r="F305" s="28"/>
      <c r="I305" s="22"/>
    </row>
    <row r="306" ht="22.5" customHeight="1">
      <c r="B306" s="19"/>
      <c r="C306" s="19"/>
      <c r="F306" s="28"/>
      <c r="I306" s="22"/>
    </row>
    <row r="307" ht="22.5" customHeight="1">
      <c r="B307" s="19"/>
      <c r="C307" s="19"/>
      <c r="F307" s="28"/>
      <c r="I307" s="22"/>
    </row>
    <row r="308" ht="22.5" customHeight="1">
      <c r="B308" s="19"/>
      <c r="C308" s="19"/>
      <c r="F308" s="28"/>
      <c r="I308" s="22"/>
    </row>
    <row r="309" ht="22.5" customHeight="1">
      <c r="B309" s="19"/>
      <c r="C309" s="19"/>
      <c r="F309" s="28"/>
      <c r="I309" s="22"/>
    </row>
    <row r="310" ht="22.5" customHeight="1">
      <c r="B310" s="19"/>
      <c r="C310" s="19"/>
      <c r="F310" s="28"/>
      <c r="I310" s="22"/>
    </row>
    <row r="311" ht="22.5" customHeight="1">
      <c r="B311" s="19"/>
      <c r="C311" s="19"/>
      <c r="F311" s="28"/>
      <c r="I311" s="22"/>
    </row>
    <row r="312" ht="22.5" customHeight="1">
      <c r="B312" s="19"/>
      <c r="C312" s="19"/>
      <c r="F312" s="28"/>
      <c r="I312" s="22"/>
    </row>
    <row r="313" ht="22.5" customHeight="1">
      <c r="B313" s="19"/>
      <c r="C313" s="19"/>
      <c r="F313" s="28"/>
      <c r="I313" s="22"/>
    </row>
    <row r="314" ht="22.5" customHeight="1">
      <c r="B314" s="19"/>
      <c r="C314" s="19"/>
      <c r="F314" s="28"/>
      <c r="I314" s="22"/>
    </row>
    <row r="315" ht="22.5" customHeight="1">
      <c r="B315" s="19"/>
      <c r="C315" s="19"/>
      <c r="F315" s="28"/>
      <c r="I315" s="22"/>
    </row>
    <row r="316" ht="22.5" customHeight="1">
      <c r="B316" s="19"/>
      <c r="C316" s="19"/>
      <c r="F316" s="28"/>
      <c r="I316" s="22"/>
    </row>
    <row r="317" ht="22.5" customHeight="1">
      <c r="B317" s="19"/>
      <c r="C317" s="19"/>
      <c r="F317" s="28"/>
      <c r="I317" s="22"/>
    </row>
    <row r="318" ht="22.5" customHeight="1">
      <c r="B318" s="19"/>
      <c r="C318" s="19"/>
      <c r="F318" s="28"/>
      <c r="I318" s="22"/>
    </row>
    <row r="319" ht="22.5" customHeight="1">
      <c r="B319" s="19"/>
      <c r="C319" s="19"/>
      <c r="F319" s="28"/>
      <c r="I319" s="22"/>
    </row>
    <row r="320" ht="22.5" customHeight="1">
      <c r="B320" s="19"/>
      <c r="C320" s="19"/>
      <c r="F320" s="28"/>
      <c r="I320" s="22"/>
    </row>
    <row r="321" ht="22.5" customHeight="1">
      <c r="B321" s="19"/>
      <c r="C321" s="19"/>
      <c r="F321" s="28"/>
      <c r="I321" s="22"/>
    </row>
    <row r="322" ht="22.5" customHeight="1">
      <c r="B322" s="19"/>
      <c r="C322" s="19"/>
      <c r="F322" s="28"/>
      <c r="I322" s="22"/>
    </row>
    <row r="323" ht="22.5" customHeight="1">
      <c r="B323" s="19"/>
      <c r="C323" s="19"/>
      <c r="F323" s="28"/>
      <c r="I323" s="22"/>
    </row>
    <row r="324" ht="22.5" customHeight="1">
      <c r="B324" s="19"/>
      <c r="C324" s="19"/>
      <c r="F324" s="28"/>
      <c r="I324" s="22"/>
    </row>
    <row r="325" ht="22.5" customHeight="1">
      <c r="B325" s="19"/>
      <c r="C325" s="19"/>
      <c r="F325" s="28"/>
      <c r="I325" s="22"/>
    </row>
    <row r="326" ht="22.5" customHeight="1">
      <c r="B326" s="19"/>
      <c r="C326" s="19"/>
      <c r="F326" s="28"/>
      <c r="I326" s="22"/>
    </row>
    <row r="327" ht="22.5" customHeight="1">
      <c r="B327" s="19"/>
      <c r="C327" s="19"/>
      <c r="F327" s="28"/>
      <c r="I327" s="22"/>
    </row>
    <row r="328" ht="22.5" customHeight="1">
      <c r="B328" s="19"/>
      <c r="C328" s="19"/>
      <c r="F328" s="28"/>
      <c r="I328" s="22"/>
    </row>
    <row r="329" ht="22.5" customHeight="1">
      <c r="B329" s="19"/>
      <c r="C329" s="19"/>
      <c r="F329" s="28"/>
      <c r="I329" s="22"/>
    </row>
    <row r="330" ht="22.5" customHeight="1">
      <c r="B330" s="19"/>
      <c r="C330" s="19"/>
      <c r="F330" s="28"/>
      <c r="I330" s="22"/>
    </row>
    <row r="331" ht="22.5" customHeight="1">
      <c r="B331" s="19"/>
      <c r="C331" s="19"/>
      <c r="F331" s="28"/>
      <c r="I331" s="22"/>
    </row>
    <row r="332" ht="22.5" customHeight="1">
      <c r="B332" s="19"/>
      <c r="C332" s="19"/>
      <c r="F332" s="28"/>
      <c r="I332" s="22"/>
    </row>
    <row r="333" ht="22.5" customHeight="1">
      <c r="B333" s="19"/>
      <c r="C333" s="19"/>
      <c r="F333" s="28"/>
      <c r="I333" s="22"/>
    </row>
    <row r="334" ht="22.5" customHeight="1">
      <c r="B334" s="19"/>
      <c r="C334" s="19"/>
      <c r="F334" s="28"/>
      <c r="I334" s="22"/>
    </row>
    <row r="335" ht="22.5" customHeight="1">
      <c r="B335" s="19"/>
      <c r="C335" s="19"/>
      <c r="F335" s="28"/>
      <c r="I335" s="22"/>
    </row>
    <row r="336" ht="22.5" customHeight="1">
      <c r="B336" s="19"/>
      <c r="C336" s="19"/>
      <c r="F336" s="28"/>
      <c r="I336" s="22"/>
    </row>
    <row r="337" ht="22.5" customHeight="1">
      <c r="B337" s="19"/>
      <c r="C337" s="19"/>
      <c r="F337" s="28"/>
      <c r="I337" s="22"/>
    </row>
    <row r="338" ht="22.5" customHeight="1">
      <c r="B338" s="19"/>
      <c r="C338" s="19"/>
      <c r="F338" s="28"/>
      <c r="I338" s="22"/>
    </row>
    <row r="339" ht="22.5" customHeight="1">
      <c r="B339" s="19"/>
      <c r="C339" s="19"/>
      <c r="F339" s="28"/>
      <c r="I339" s="22"/>
    </row>
    <row r="340" ht="22.5" customHeight="1">
      <c r="B340" s="19"/>
      <c r="C340" s="19"/>
      <c r="F340" s="28"/>
      <c r="I340" s="22"/>
    </row>
    <row r="341" ht="22.5" customHeight="1">
      <c r="B341" s="19"/>
      <c r="C341" s="19"/>
      <c r="F341" s="28"/>
      <c r="I341" s="22"/>
    </row>
    <row r="342" ht="22.5" customHeight="1">
      <c r="B342" s="19"/>
      <c r="C342" s="19"/>
      <c r="F342" s="28"/>
      <c r="I342" s="22"/>
    </row>
    <row r="343" ht="22.5" customHeight="1">
      <c r="B343" s="19"/>
      <c r="C343" s="19"/>
      <c r="F343" s="28"/>
      <c r="I343" s="22"/>
    </row>
    <row r="344" ht="22.5" customHeight="1">
      <c r="B344" s="19"/>
      <c r="C344" s="19"/>
      <c r="F344" s="28"/>
      <c r="I344" s="22"/>
    </row>
    <row r="345" ht="22.5" customHeight="1">
      <c r="B345" s="19"/>
      <c r="C345" s="19"/>
      <c r="F345" s="28"/>
      <c r="I345" s="22"/>
    </row>
    <row r="346" ht="22.5" customHeight="1">
      <c r="B346" s="19"/>
      <c r="C346" s="19"/>
      <c r="F346" s="28"/>
      <c r="I346" s="22"/>
    </row>
    <row r="347" ht="22.5" customHeight="1">
      <c r="B347" s="19"/>
      <c r="C347" s="19"/>
      <c r="F347" s="28"/>
      <c r="I347" s="22"/>
    </row>
    <row r="348" ht="22.5" customHeight="1">
      <c r="B348" s="19"/>
      <c r="C348" s="19"/>
      <c r="F348" s="28"/>
      <c r="I348" s="22"/>
    </row>
    <row r="349" ht="22.5" customHeight="1">
      <c r="B349" s="19"/>
      <c r="C349" s="19"/>
      <c r="F349" s="28"/>
      <c r="I349" s="22"/>
    </row>
    <row r="350" ht="22.5" customHeight="1">
      <c r="B350" s="19"/>
      <c r="C350" s="19"/>
      <c r="F350" s="28"/>
      <c r="I350" s="22"/>
    </row>
    <row r="351" ht="22.5" customHeight="1">
      <c r="B351" s="19"/>
      <c r="C351" s="19"/>
      <c r="F351" s="28"/>
      <c r="I351" s="22"/>
    </row>
    <row r="352" ht="22.5" customHeight="1">
      <c r="B352" s="19"/>
      <c r="C352" s="19"/>
      <c r="F352" s="28"/>
      <c r="I352" s="22"/>
    </row>
    <row r="353" ht="22.5" customHeight="1">
      <c r="B353" s="19"/>
      <c r="C353" s="19"/>
      <c r="F353" s="28"/>
      <c r="I353" s="22"/>
    </row>
    <row r="354" ht="22.5" customHeight="1">
      <c r="B354" s="19"/>
      <c r="C354" s="19"/>
      <c r="F354" s="28"/>
      <c r="I354" s="22"/>
    </row>
    <row r="355" ht="22.5" customHeight="1">
      <c r="B355" s="19"/>
      <c r="C355" s="19"/>
      <c r="F355" s="28"/>
      <c r="I355" s="22"/>
    </row>
    <row r="356" ht="22.5" customHeight="1">
      <c r="B356" s="19"/>
      <c r="C356" s="19"/>
      <c r="F356" s="28"/>
      <c r="I356" s="22"/>
    </row>
    <row r="357" ht="22.5" customHeight="1">
      <c r="B357" s="19"/>
      <c r="C357" s="19"/>
      <c r="F357" s="28"/>
      <c r="I357" s="22"/>
    </row>
    <row r="358" ht="22.5" customHeight="1">
      <c r="B358" s="19"/>
      <c r="C358" s="19"/>
      <c r="F358" s="28"/>
      <c r="I358" s="22"/>
    </row>
    <row r="359" ht="22.5" customHeight="1">
      <c r="B359" s="19"/>
      <c r="C359" s="19"/>
      <c r="F359" s="28"/>
      <c r="I359" s="22"/>
    </row>
    <row r="360" ht="22.5" customHeight="1">
      <c r="B360" s="19"/>
      <c r="C360" s="19"/>
      <c r="F360" s="28"/>
      <c r="I360" s="22"/>
    </row>
    <row r="361" ht="22.5" customHeight="1">
      <c r="B361" s="19"/>
      <c r="C361" s="19"/>
      <c r="F361" s="28"/>
      <c r="I361" s="22"/>
    </row>
    <row r="362" ht="22.5" customHeight="1">
      <c r="B362" s="19"/>
      <c r="C362" s="19"/>
      <c r="F362" s="28"/>
      <c r="I362" s="22"/>
    </row>
    <row r="363" ht="22.5" customHeight="1">
      <c r="B363" s="19"/>
      <c r="C363" s="19"/>
      <c r="F363" s="28"/>
      <c r="I363" s="22"/>
    </row>
    <row r="364" ht="22.5" customHeight="1">
      <c r="B364" s="19"/>
      <c r="C364" s="19"/>
      <c r="F364" s="28"/>
      <c r="I364" s="22"/>
    </row>
    <row r="365" ht="22.5" customHeight="1">
      <c r="B365" s="19"/>
      <c r="C365" s="19"/>
      <c r="F365" s="28"/>
      <c r="I365" s="22"/>
    </row>
    <row r="366" ht="22.5" customHeight="1">
      <c r="B366" s="19"/>
      <c r="C366" s="19"/>
      <c r="F366" s="28"/>
      <c r="I366" s="22"/>
    </row>
    <row r="367" ht="22.5" customHeight="1">
      <c r="B367" s="19"/>
      <c r="C367" s="19"/>
      <c r="F367" s="28"/>
      <c r="I367" s="22"/>
    </row>
    <row r="368" ht="22.5" customHeight="1">
      <c r="B368" s="19"/>
      <c r="C368" s="19"/>
      <c r="F368" s="28"/>
      <c r="I368" s="22"/>
    </row>
    <row r="369" ht="22.5" customHeight="1">
      <c r="B369" s="19"/>
      <c r="C369" s="19"/>
      <c r="F369" s="28"/>
      <c r="I369" s="22"/>
    </row>
    <row r="370" ht="22.5" customHeight="1">
      <c r="B370" s="19"/>
      <c r="C370" s="19"/>
      <c r="F370" s="28"/>
      <c r="I370" s="22"/>
    </row>
    <row r="371" ht="22.5" customHeight="1">
      <c r="B371" s="19"/>
      <c r="C371" s="19"/>
      <c r="F371" s="28"/>
      <c r="I371" s="22"/>
    </row>
    <row r="372" ht="22.5" customHeight="1">
      <c r="B372" s="19"/>
      <c r="C372" s="19"/>
      <c r="F372" s="28"/>
      <c r="I372" s="22"/>
    </row>
    <row r="373" ht="22.5" customHeight="1">
      <c r="B373" s="19"/>
      <c r="C373" s="19"/>
      <c r="F373" s="28"/>
      <c r="I373" s="22"/>
    </row>
    <row r="374" ht="22.5" customHeight="1">
      <c r="B374" s="19"/>
      <c r="C374" s="19"/>
      <c r="F374" s="28"/>
      <c r="I374" s="22"/>
    </row>
    <row r="375" ht="22.5" customHeight="1">
      <c r="B375" s="19"/>
      <c r="C375" s="19"/>
      <c r="F375" s="28"/>
      <c r="I375" s="22"/>
    </row>
    <row r="376" ht="22.5" customHeight="1">
      <c r="B376" s="19"/>
      <c r="C376" s="19"/>
      <c r="F376" s="28"/>
      <c r="I376" s="22"/>
    </row>
    <row r="377" ht="22.5" customHeight="1">
      <c r="B377" s="19"/>
      <c r="C377" s="19"/>
      <c r="F377" s="28"/>
      <c r="I377" s="22"/>
    </row>
    <row r="378" ht="22.5" customHeight="1">
      <c r="B378" s="19"/>
      <c r="C378" s="19"/>
      <c r="F378" s="28"/>
      <c r="I378" s="22"/>
    </row>
    <row r="379" ht="22.5" customHeight="1">
      <c r="B379" s="19"/>
      <c r="C379" s="19"/>
      <c r="F379" s="28"/>
      <c r="I379" s="22"/>
    </row>
    <row r="380" ht="22.5" customHeight="1">
      <c r="B380" s="19"/>
      <c r="C380" s="19"/>
      <c r="F380" s="28"/>
      <c r="I380" s="22"/>
    </row>
    <row r="381" ht="22.5" customHeight="1">
      <c r="B381" s="19"/>
      <c r="C381" s="19"/>
      <c r="F381" s="28"/>
      <c r="I381" s="22"/>
    </row>
    <row r="382" ht="22.5" customHeight="1">
      <c r="B382" s="19"/>
      <c r="C382" s="19"/>
      <c r="F382" s="28"/>
      <c r="I382" s="22"/>
    </row>
    <row r="383" ht="22.5" customHeight="1">
      <c r="B383" s="19"/>
      <c r="C383" s="19"/>
      <c r="F383" s="28"/>
      <c r="I383" s="22"/>
    </row>
    <row r="384" ht="22.5" customHeight="1">
      <c r="B384" s="19"/>
      <c r="C384" s="19"/>
      <c r="F384" s="28"/>
      <c r="I384" s="22"/>
    </row>
    <row r="385" ht="22.5" customHeight="1">
      <c r="B385" s="19"/>
      <c r="C385" s="19"/>
      <c r="F385" s="28"/>
      <c r="I385" s="22"/>
    </row>
    <row r="386" ht="22.5" customHeight="1">
      <c r="B386" s="19"/>
      <c r="C386" s="19"/>
      <c r="F386" s="28"/>
      <c r="I386" s="22"/>
    </row>
    <row r="387" ht="22.5" customHeight="1">
      <c r="B387" s="19"/>
      <c r="C387" s="19"/>
      <c r="F387" s="28"/>
      <c r="I387" s="22"/>
    </row>
    <row r="388" ht="22.5" customHeight="1">
      <c r="B388" s="19"/>
      <c r="C388" s="19"/>
      <c r="F388" s="28"/>
      <c r="I388" s="22"/>
    </row>
    <row r="389" ht="22.5" customHeight="1">
      <c r="B389" s="19"/>
      <c r="C389" s="19"/>
      <c r="F389" s="28"/>
      <c r="I389" s="22"/>
    </row>
    <row r="390" ht="22.5" customHeight="1">
      <c r="B390" s="19"/>
      <c r="C390" s="19"/>
      <c r="F390" s="28"/>
      <c r="I390" s="22"/>
    </row>
    <row r="391" ht="22.5" customHeight="1">
      <c r="B391" s="19"/>
      <c r="C391" s="19"/>
      <c r="F391" s="28"/>
      <c r="I391" s="22"/>
    </row>
    <row r="392" ht="22.5" customHeight="1">
      <c r="B392" s="19"/>
      <c r="C392" s="19"/>
      <c r="F392" s="28"/>
      <c r="I392" s="22"/>
    </row>
    <row r="393" ht="22.5" customHeight="1">
      <c r="B393" s="19"/>
      <c r="C393" s="19"/>
      <c r="F393" s="28"/>
      <c r="I393" s="22"/>
    </row>
    <row r="394" ht="22.5" customHeight="1">
      <c r="B394" s="19"/>
      <c r="C394" s="19"/>
      <c r="F394" s="28"/>
      <c r="I394" s="22"/>
    </row>
    <row r="395" ht="22.5" customHeight="1">
      <c r="B395" s="19"/>
      <c r="C395" s="19"/>
      <c r="F395" s="28"/>
      <c r="I395" s="22"/>
    </row>
    <row r="396" ht="22.5" customHeight="1">
      <c r="B396" s="19"/>
      <c r="C396" s="19"/>
      <c r="F396" s="28"/>
      <c r="I396" s="22"/>
    </row>
    <row r="397" ht="22.5" customHeight="1">
      <c r="B397" s="19"/>
      <c r="C397" s="19"/>
      <c r="F397" s="28"/>
      <c r="I397" s="22"/>
    </row>
    <row r="398" ht="22.5" customHeight="1">
      <c r="B398" s="19"/>
      <c r="C398" s="19"/>
      <c r="F398" s="28"/>
      <c r="I398" s="22"/>
    </row>
    <row r="399" ht="22.5" customHeight="1">
      <c r="B399" s="19"/>
      <c r="C399" s="19"/>
      <c r="F399" s="28"/>
      <c r="I399" s="22"/>
    </row>
    <row r="400" ht="22.5" customHeight="1">
      <c r="B400" s="19"/>
      <c r="C400" s="19"/>
      <c r="F400" s="28"/>
      <c r="I400" s="22"/>
    </row>
    <row r="401" ht="22.5" customHeight="1">
      <c r="B401" s="19"/>
      <c r="C401" s="19"/>
      <c r="F401" s="28"/>
      <c r="I401" s="22"/>
    </row>
    <row r="402" ht="22.5" customHeight="1">
      <c r="B402" s="19"/>
      <c r="C402" s="19"/>
      <c r="F402" s="28"/>
      <c r="I402" s="22"/>
    </row>
    <row r="403" ht="22.5" customHeight="1">
      <c r="B403" s="19"/>
      <c r="C403" s="19"/>
      <c r="F403" s="28"/>
      <c r="I403" s="22"/>
    </row>
    <row r="404" ht="22.5" customHeight="1">
      <c r="B404" s="19"/>
      <c r="C404" s="19"/>
      <c r="F404" s="28"/>
      <c r="I404" s="22"/>
    </row>
    <row r="405" ht="22.5" customHeight="1">
      <c r="B405" s="19"/>
      <c r="C405" s="19"/>
      <c r="F405" s="28"/>
      <c r="I405" s="22"/>
    </row>
    <row r="406" ht="22.5" customHeight="1">
      <c r="B406" s="19"/>
      <c r="C406" s="19"/>
      <c r="F406" s="28"/>
      <c r="I406" s="22"/>
    </row>
    <row r="407" ht="22.5" customHeight="1">
      <c r="B407" s="19"/>
      <c r="C407" s="19"/>
      <c r="F407" s="28"/>
      <c r="I407" s="22"/>
    </row>
    <row r="408" ht="22.5" customHeight="1">
      <c r="B408" s="19"/>
      <c r="C408" s="19"/>
      <c r="F408" s="28"/>
      <c r="I408" s="22"/>
    </row>
    <row r="409" ht="22.5" customHeight="1">
      <c r="B409" s="19"/>
      <c r="C409" s="19"/>
      <c r="F409" s="28"/>
      <c r="I409" s="22"/>
    </row>
    <row r="410" ht="22.5" customHeight="1">
      <c r="B410" s="19"/>
      <c r="C410" s="19"/>
      <c r="F410" s="28"/>
      <c r="I410" s="22"/>
    </row>
    <row r="411" ht="22.5" customHeight="1">
      <c r="B411" s="19"/>
      <c r="C411" s="19"/>
      <c r="F411" s="28"/>
      <c r="I411" s="22"/>
    </row>
    <row r="412" ht="22.5" customHeight="1">
      <c r="B412" s="19"/>
      <c r="C412" s="19"/>
      <c r="F412" s="28"/>
      <c r="I412" s="22"/>
    </row>
    <row r="413" ht="22.5" customHeight="1">
      <c r="B413" s="19"/>
      <c r="C413" s="19"/>
      <c r="F413" s="28"/>
      <c r="I413" s="22"/>
    </row>
    <row r="414" ht="22.5" customHeight="1">
      <c r="B414" s="19"/>
      <c r="C414" s="19"/>
      <c r="F414" s="28"/>
      <c r="I414" s="22"/>
    </row>
    <row r="415" ht="22.5" customHeight="1">
      <c r="B415" s="19"/>
      <c r="C415" s="19"/>
      <c r="F415" s="28"/>
      <c r="I415" s="22"/>
    </row>
    <row r="416" ht="22.5" customHeight="1">
      <c r="B416" s="19"/>
      <c r="C416" s="19"/>
      <c r="F416" s="28"/>
      <c r="I416" s="22"/>
    </row>
    <row r="417" ht="22.5" customHeight="1">
      <c r="B417" s="19"/>
      <c r="C417" s="19"/>
      <c r="F417" s="28"/>
      <c r="I417" s="22"/>
    </row>
    <row r="418" ht="22.5" customHeight="1">
      <c r="B418" s="19"/>
      <c r="C418" s="19"/>
      <c r="F418" s="28"/>
      <c r="I418" s="22"/>
    </row>
    <row r="419" ht="22.5" customHeight="1">
      <c r="B419" s="19"/>
      <c r="C419" s="19"/>
      <c r="F419" s="28"/>
      <c r="I419" s="22"/>
    </row>
    <row r="420" ht="22.5" customHeight="1">
      <c r="B420" s="19"/>
      <c r="C420" s="19"/>
      <c r="F420" s="28"/>
      <c r="I420" s="22"/>
    </row>
    <row r="421" ht="22.5" customHeight="1">
      <c r="B421" s="19"/>
      <c r="C421" s="19"/>
      <c r="F421" s="28"/>
      <c r="I421" s="22"/>
    </row>
    <row r="422" ht="22.5" customHeight="1">
      <c r="B422" s="19"/>
      <c r="C422" s="19"/>
      <c r="F422" s="28"/>
      <c r="I422" s="22"/>
    </row>
    <row r="423" ht="22.5" customHeight="1">
      <c r="B423" s="19"/>
      <c r="C423" s="19"/>
      <c r="F423" s="28"/>
      <c r="I423" s="22"/>
    </row>
    <row r="424" ht="22.5" customHeight="1">
      <c r="B424" s="19"/>
      <c r="C424" s="19"/>
      <c r="F424" s="28"/>
      <c r="I424" s="22"/>
    </row>
    <row r="425" ht="22.5" customHeight="1">
      <c r="B425" s="19"/>
      <c r="C425" s="19"/>
      <c r="F425" s="28"/>
      <c r="I425" s="22"/>
    </row>
    <row r="426" ht="22.5" customHeight="1">
      <c r="B426" s="19"/>
      <c r="C426" s="19"/>
      <c r="F426" s="28"/>
      <c r="I426" s="22"/>
    </row>
    <row r="427" ht="22.5" customHeight="1">
      <c r="B427" s="19"/>
      <c r="C427" s="19"/>
      <c r="F427" s="28"/>
      <c r="I427" s="22"/>
    </row>
    <row r="428" ht="22.5" customHeight="1">
      <c r="B428" s="19"/>
      <c r="C428" s="19"/>
      <c r="F428" s="28"/>
      <c r="I428" s="22"/>
    </row>
    <row r="429" ht="22.5" customHeight="1">
      <c r="B429" s="19"/>
      <c r="C429" s="19"/>
      <c r="F429" s="28"/>
      <c r="I429" s="22"/>
    </row>
    <row r="430" ht="22.5" customHeight="1">
      <c r="B430" s="19"/>
      <c r="C430" s="19"/>
      <c r="F430" s="28"/>
      <c r="I430" s="22"/>
    </row>
    <row r="431" ht="22.5" customHeight="1">
      <c r="B431" s="19"/>
      <c r="C431" s="19"/>
      <c r="F431" s="28"/>
      <c r="I431" s="22"/>
    </row>
    <row r="432" ht="22.5" customHeight="1">
      <c r="B432" s="19"/>
      <c r="C432" s="19"/>
      <c r="F432" s="28"/>
      <c r="I432" s="22"/>
    </row>
    <row r="433" ht="22.5" customHeight="1">
      <c r="B433" s="19"/>
      <c r="C433" s="19"/>
      <c r="F433" s="28"/>
      <c r="I433" s="22"/>
    </row>
    <row r="434" ht="22.5" customHeight="1">
      <c r="B434" s="19"/>
      <c r="C434" s="19"/>
      <c r="F434" s="28"/>
      <c r="I434" s="22"/>
    </row>
    <row r="435" ht="22.5" customHeight="1">
      <c r="B435" s="19"/>
      <c r="C435" s="19"/>
      <c r="F435" s="28"/>
      <c r="I435" s="22"/>
    </row>
    <row r="436" ht="22.5" customHeight="1">
      <c r="B436" s="19"/>
      <c r="C436" s="19"/>
      <c r="F436" s="28"/>
      <c r="I436" s="22"/>
    </row>
    <row r="437" ht="22.5" customHeight="1">
      <c r="B437" s="19"/>
      <c r="C437" s="19"/>
      <c r="F437" s="28"/>
      <c r="I437" s="22"/>
    </row>
    <row r="438" ht="22.5" customHeight="1">
      <c r="B438" s="19"/>
      <c r="C438" s="19"/>
      <c r="F438" s="28"/>
      <c r="I438" s="22"/>
    </row>
    <row r="439" ht="22.5" customHeight="1">
      <c r="B439" s="19"/>
      <c r="C439" s="19"/>
      <c r="F439" s="28"/>
      <c r="I439" s="22"/>
    </row>
    <row r="440" ht="22.5" customHeight="1">
      <c r="B440" s="19"/>
      <c r="C440" s="19"/>
      <c r="F440" s="28"/>
      <c r="I440" s="22"/>
    </row>
    <row r="441" ht="22.5" customHeight="1">
      <c r="B441" s="19"/>
      <c r="C441" s="19"/>
      <c r="F441" s="28"/>
      <c r="I441" s="22"/>
    </row>
    <row r="442" ht="22.5" customHeight="1">
      <c r="B442" s="19"/>
      <c r="C442" s="19"/>
      <c r="F442" s="28"/>
      <c r="I442" s="22"/>
    </row>
    <row r="443" ht="22.5" customHeight="1">
      <c r="B443" s="19"/>
      <c r="C443" s="19"/>
      <c r="F443" s="28"/>
      <c r="I443" s="22"/>
    </row>
    <row r="444" ht="22.5" customHeight="1">
      <c r="B444" s="19"/>
      <c r="C444" s="19"/>
      <c r="F444" s="28"/>
      <c r="I444" s="22"/>
    </row>
    <row r="445" ht="22.5" customHeight="1">
      <c r="B445" s="19"/>
      <c r="C445" s="19"/>
      <c r="F445" s="28"/>
      <c r="I445" s="22"/>
    </row>
    <row r="446" ht="22.5" customHeight="1">
      <c r="B446" s="19"/>
      <c r="C446" s="19"/>
      <c r="F446" s="28"/>
      <c r="I446" s="22"/>
    </row>
    <row r="447" ht="22.5" customHeight="1">
      <c r="B447" s="19"/>
      <c r="C447" s="19"/>
      <c r="F447" s="28"/>
      <c r="I447" s="22"/>
    </row>
    <row r="448" ht="22.5" customHeight="1">
      <c r="B448" s="19"/>
      <c r="C448" s="19"/>
      <c r="F448" s="28"/>
      <c r="I448" s="22"/>
    </row>
    <row r="449" ht="22.5" customHeight="1">
      <c r="B449" s="19"/>
      <c r="C449" s="19"/>
      <c r="F449" s="28"/>
      <c r="I449" s="22"/>
    </row>
    <row r="450" ht="22.5" customHeight="1">
      <c r="B450" s="19"/>
      <c r="C450" s="19"/>
      <c r="F450" s="28"/>
      <c r="I450" s="22"/>
    </row>
    <row r="451" ht="22.5" customHeight="1">
      <c r="B451" s="19"/>
      <c r="C451" s="19"/>
      <c r="F451" s="28"/>
      <c r="I451" s="22"/>
    </row>
    <row r="452" ht="22.5" customHeight="1">
      <c r="B452" s="19"/>
      <c r="C452" s="19"/>
      <c r="F452" s="28"/>
      <c r="I452" s="22"/>
    </row>
    <row r="453" ht="22.5" customHeight="1">
      <c r="B453" s="19"/>
      <c r="C453" s="19"/>
      <c r="F453" s="28"/>
      <c r="I453" s="22"/>
    </row>
    <row r="454" ht="22.5" customHeight="1">
      <c r="B454" s="19"/>
      <c r="C454" s="19"/>
      <c r="F454" s="28"/>
      <c r="I454" s="22"/>
    </row>
    <row r="455" ht="22.5" customHeight="1">
      <c r="B455" s="19"/>
      <c r="C455" s="19"/>
      <c r="F455" s="28"/>
      <c r="I455" s="22"/>
    </row>
    <row r="456" ht="22.5" customHeight="1">
      <c r="B456" s="19"/>
      <c r="C456" s="19"/>
      <c r="F456" s="28"/>
      <c r="I456" s="22"/>
    </row>
    <row r="457" ht="22.5" customHeight="1">
      <c r="B457" s="19"/>
      <c r="C457" s="19"/>
      <c r="F457" s="28"/>
      <c r="I457" s="22"/>
    </row>
    <row r="458" ht="22.5" customHeight="1">
      <c r="B458" s="19"/>
      <c r="C458" s="19"/>
      <c r="F458" s="28"/>
      <c r="I458" s="22"/>
    </row>
    <row r="459" ht="22.5" customHeight="1">
      <c r="B459" s="19"/>
      <c r="C459" s="19"/>
      <c r="F459" s="28"/>
      <c r="I459" s="22"/>
    </row>
    <row r="460" ht="22.5" customHeight="1">
      <c r="B460" s="19"/>
      <c r="C460" s="19"/>
      <c r="F460" s="28"/>
      <c r="I460" s="22"/>
    </row>
    <row r="461" ht="22.5" customHeight="1">
      <c r="B461" s="19"/>
      <c r="C461" s="19"/>
      <c r="F461" s="28"/>
      <c r="I461" s="22"/>
    </row>
    <row r="462" ht="22.5" customHeight="1">
      <c r="B462" s="19"/>
      <c r="C462" s="19"/>
      <c r="F462" s="28"/>
      <c r="I462" s="22"/>
    </row>
    <row r="463" ht="22.5" customHeight="1">
      <c r="B463" s="19"/>
      <c r="C463" s="19"/>
      <c r="F463" s="28"/>
      <c r="I463" s="22"/>
    </row>
    <row r="464" ht="22.5" customHeight="1">
      <c r="B464" s="19"/>
      <c r="C464" s="19"/>
      <c r="F464" s="28"/>
      <c r="I464" s="22"/>
    </row>
    <row r="465" ht="22.5" customHeight="1">
      <c r="B465" s="19"/>
      <c r="C465" s="19"/>
      <c r="F465" s="28"/>
      <c r="I465" s="22"/>
    </row>
    <row r="466" ht="22.5" customHeight="1">
      <c r="B466" s="19"/>
      <c r="C466" s="19"/>
      <c r="F466" s="28"/>
      <c r="I466" s="22"/>
    </row>
    <row r="467" ht="22.5" customHeight="1">
      <c r="B467" s="19"/>
      <c r="C467" s="19"/>
      <c r="F467" s="28"/>
      <c r="I467" s="22"/>
    </row>
    <row r="468" ht="22.5" customHeight="1">
      <c r="B468" s="19"/>
      <c r="C468" s="19"/>
      <c r="F468" s="28"/>
      <c r="I468" s="22"/>
    </row>
    <row r="469" ht="22.5" customHeight="1">
      <c r="B469" s="19"/>
      <c r="C469" s="19"/>
      <c r="F469" s="28"/>
      <c r="I469" s="22"/>
    </row>
    <row r="470" ht="22.5" customHeight="1">
      <c r="B470" s="19"/>
      <c r="C470" s="19"/>
      <c r="F470" s="28"/>
      <c r="I470" s="22"/>
    </row>
    <row r="471" ht="22.5" customHeight="1">
      <c r="B471" s="19"/>
      <c r="C471" s="19"/>
      <c r="F471" s="28"/>
      <c r="I471" s="22"/>
    </row>
    <row r="472" ht="22.5" customHeight="1">
      <c r="B472" s="19"/>
      <c r="C472" s="19"/>
      <c r="F472" s="28"/>
      <c r="I472" s="22"/>
    </row>
    <row r="473" ht="22.5" customHeight="1">
      <c r="B473" s="19"/>
      <c r="C473" s="19"/>
      <c r="F473" s="28"/>
      <c r="I473" s="22"/>
    </row>
    <row r="474" ht="22.5" customHeight="1">
      <c r="B474" s="19"/>
      <c r="C474" s="19"/>
      <c r="F474" s="28"/>
      <c r="I474" s="22"/>
    </row>
    <row r="475" ht="22.5" customHeight="1">
      <c r="B475" s="19"/>
      <c r="C475" s="19"/>
      <c r="F475" s="28"/>
      <c r="I475" s="22"/>
    </row>
    <row r="476" ht="22.5" customHeight="1">
      <c r="B476" s="19"/>
      <c r="C476" s="19"/>
      <c r="F476" s="28"/>
      <c r="I476" s="22"/>
    </row>
    <row r="477" ht="22.5" customHeight="1">
      <c r="B477" s="19"/>
      <c r="C477" s="19"/>
      <c r="F477" s="28"/>
      <c r="I477" s="22"/>
    </row>
    <row r="478" ht="22.5" customHeight="1">
      <c r="B478" s="19"/>
      <c r="C478" s="19"/>
      <c r="F478" s="28"/>
      <c r="I478" s="22"/>
    </row>
    <row r="479" ht="22.5" customHeight="1">
      <c r="B479" s="19"/>
      <c r="C479" s="19"/>
      <c r="F479" s="28"/>
      <c r="I479" s="22"/>
    </row>
    <row r="480" ht="22.5" customHeight="1">
      <c r="B480" s="19"/>
      <c r="C480" s="19"/>
      <c r="F480" s="28"/>
      <c r="I480" s="22"/>
    </row>
    <row r="481" ht="22.5" customHeight="1">
      <c r="B481" s="19"/>
      <c r="C481" s="19"/>
      <c r="F481" s="28"/>
      <c r="I481" s="22"/>
    </row>
    <row r="482" ht="22.5" customHeight="1">
      <c r="B482" s="19"/>
      <c r="C482" s="19"/>
      <c r="F482" s="28"/>
      <c r="I482" s="22"/>
    </row>
    <row r="483" ht="22.5" customHeight="1">
      <c r="B483" s="19"/>
      <c r="C483" s="19"/>
      <c r="F483" s="28"/>
      <c r="I483" s="22"/>
    </row>
    <row r="484" ht="22.5" customHeight="1">
      <c r="B484" s="19"/>
      <c r="C484" s="19"/>
      <c r="F484" s="28"/>
      <c r="I484" s="22"/>
    </row>
    <row r="485" ht="22.5" customHeight="1">
      <c r="B485" s="19"/>
      <c r="C485" s="19"/>
      <c r="F485" s="28"/>
      <c r="I485" s="22"/>
    </row>
    <row r="486" ht="22.5" customHeight="1">
      <c r="B486" s="19"/>
      <c r="C486" s="19"/>
      <c r="F486" s="28"/>
      <c r="I486" s="22"/>
    </row>
    <row r="487" ht="22.5" customHeight="1">
      <c r="B487" s="19"/>
      <c r="C487" s="19"/>
      <c r="F487" s="28"/>
      <c r="I487" s="22"/>
    </row>
    <row r="488" ht="22.5" customHeight="1">
      <c r="B488" s="19"/>
      <c r="C488" s="19"/>
      <c r="F488" s="28"/>
      <c r="I488" s="22"/>
    </row>
    <row r="489" ht="22.5" customHeight="1">
      <c r="B489" s="19"/>
      <c r="C489" s="19"/>
      <c r="F489" s="28"/>
      <c r="I489" s="22"/>
    </row>
    <row r="490" ht="22.5" customHeight="1">
      <c r="B490" s="19"/>
      <c r="C490" s="19"/>
      <c r="F490" s="28"/>
      <c r="I490" s="22"/>
    </row>
    <row r="491" ht="22.5" customHeight="1">
      <c r="B491" s="19"/>
      <c r="C491" s="19"/>
      <c r="F491" s="28"/>
      <c r="I491" s="22"/>
    </row>
    <row r="492" ht="22.5" customHeight="1">
      <c r="B492" s="19"/>
      <c r="C492" s="19"/>
      <c r="F492" s="28"/>
      <c r="I492" s="22"/>
    </row>
    <row r="493" ht="22.5" customHeight="1">
      <c r="B493" s="19"/>
      <c r="C493" s="19"/>
      <c r="F493" s="28"/>
      <c r="I493" s="22"/>
    </row>
    <row r="494" ht="22.5" customHeight="1">
      <c r="B494" s="19"/>
      <c r="C494" s="19"/>
      <c r="F494" s="28"/>
      <c r="I494" s="22"/>
    </row>
    <row r="495" ht="22.5" customHeight="1">
      <c r="B495" s="19"/>
      <c r="C495" s="19"/>
      <c r="F495" s="28"/>
      <c r="I495" s="22"/>
    </row>
    <row r="496" ht="22.5" customHeight="1">
      <c r="B496" s="19"/>
      <c r="C496" s="19"/>
      <c r="F496" s="28"/>
      <c r="I496" s="22"/>
    </row>
    <row r="497" ht="22.5" customHeight="1">
      <c r="B497" s="19"/>
      <c r="C497" s="19"/>
      <c r="F497" s="28"/>
      <c r="I497" s="22"/>
    </row>
    <row r="498" ht="22.5" customHeight="1">
      <c r="B498" s="19"/>
      <c r="C498" s="19"/>
      <c r="F498" s="28"/>
      <c r="I498" s="22"/>
    </row>
    <row r="499" ht="22.5" customHeight="1">
      <c r="B499" s="19"/>
      <c r="C499" s="19"/>
      <c r="F499" s="28"/>
      <c r="I499" s="22"/>
    </row>
    <row r="500" ht="22.5" customHeight="1">
      <c r="B500" s="19"/>
      <c r="C500" s="19"/>
      <c r="F500" s="28"/>
      <c r="I500" s="22"/>
    </row>
    <row r="501" ht="22.5" customHeight="1">
      <c r="B501" s="19"/>
      <c r="C501" s="19"/>
      <c r="F501" s="28"/>
      <c r="I501" s="22"/>
    </row>
    <row r="502" ht="22.5" customHeight="1">
      <c r="B502" s="19"/>
      <c r="C502" s="19"/>
      <c r="F502" s="28"/>
      <c r="I502" s="22"/>
    </row>
    <row r="503" ht="22.5" customHeight="1">
      <c r="B503" s="19"/>
      <c r="C503" s="19"/>
      <c r="F503" s="28"/>
      <c r="I503" s="22"/>
    </row>
    <row r="504" ht="22.5" customHeight="1">
      <c r="B504" s="19"/>
      <c r="C504" s="19"/>
      <c r="F504" s="28"/>
      <c r="I504" s="22"/>
    </row>
    <row r="505" ht="22.5" customHeight="1">
      <c r="B505" s="19"/>
      <c r="C505" s="19"/>
      <c r="F505" s="28"/>
      <c r="I505" s="22"/>
    </row>
    <row r="506" ht="22.5" customHeight="1">
      <c r="B506" s="19"/>
      <c r="C506" s="19"/>
      <c r="F506" s="28"/>
      <c r="I506" s="22"/>
    </row>
    <row r="507" ht="22.5" customHeight="1">
      <c r="B507" s="19"/>
      <c r="C507" s="19"/>
      <c r="F507" s="28"/>
      <c r="I507" s="22"/>
    </row>
    <row r="508" ht="22.5" customHeight="1">
      <c r="B508" s="19"/>
      <c r="C508" s="19"/>
      <c r="F508" s="28"/>
      <c r="I508" s="22"/>
    </row>
    <row r="509" ht="22.5" customHeight="1">
      <c r="B509" s="19"/>
      <c r="C509" s="19"/>
      <c r="F509" s="28"/>
      <c r="I509" s="22"/>
    </row>
    <row r="510" ht="22.5" customHeight="1">
      <c r="B510" s="19"/>
      <c r="C510" s="19"/>
      <c r="F510" s="28"/>
      <c r="I510" s="22"/>
    </row>
    <row r="511" ht="22.5" customHeight="1">
      <c r="B511" s="19"/>
      <c r="C511" s="19"/>
      <c r="F511" s="28"/>
      <c r="I511" s="22"/>
    </row>
    <row r="512" ht="22.5" customHeight="1">
      <c r="B512" s="19"/>
      <c r="C512" s="19"/>
      <c r="F512" s="28"/>
      <c r="I512" s="22"/>
    </row>
    <row r="513" ht="22.5" customHeight="1">
      <c r="B513" s="19"/>
      <c r="C513" s="19"/>
      <c r="F513" s="28"/>
      <c r="I513" s="22"/>
    </row>
    <row r="514" ht="22.5" customHeight="1">
      <c r="B514" s="19"/>
      <c r="C514" s="19"/>
      <c r="F514" s="28"/>
      <c r="I514" s="22"/>
    </row>
    <row r="515" ht="22.5" customHeight="1">
      <c r="B515" s="19"/>
      <c r="C515" s="19"/>
      <c r="F515" s="28"/>
      <c r="I515" s="22"/>
    </row>
    <row r="516" ht="22.5" customHeight="1">
      <c r="B516" s="19"/>
      <c r="C516" s="19"/>
      <c r="F516" s="28"/>
      <c r="I516" s="22"/>
    </row>
    <row r="517" ht="22.5" customHeight="1">
      <c r="B517" s="19"/>
      <c r="C517" s="19"/>
      <c r="F517" s="28"/>
      <c r="I517" s="22"/>
    </row>
    <row r="518" ht="22.5" customHeight="1">
      <c r="B518" s="19"/>
      <c r="C518" s="19"/>
      <c r="F518" s="28"/>
      <c r="I518" s="22"/>
    </row>
    <row r="519" ht="22.5" customHeight="1">
      <c r="B519" s="19"/>
      <c r="C519" s="19"/>
      <c r="F519" s="28"/>
      <c r="I519" s="22"/>
    </row>
    <row r="520" ht="22.5" customHeight="1">
      <c r="B520" s="19"/>
      <c r="C520" s="19"/>
      <c r="F520" s="28"/>
      <c r="I520" s="22"/>
    </row>
    <row r="521" ht="22.5" customHeight="1">
      <c r="B521" s="19"/>
      <c r="C521" s="19"/>
      <c r="F521" s="28"/>
      <c r="I521" s="22"/>
    </row>
    <row r="522" ht="22.5" customHeight="1">
      <c r="B522" s="19"/>
      <c r="C522" s="19"/>
      <c r="F522" s="28"/>
      <c r="I522" s="22"/>
    </row>
    <row r="523" ht="22.5" customHeight="1">
      <c r="B523" s="19"/>
      <c r="C523" s="19"/>
      <c r="F523" s="28"/>
      <c r="I523" s="22"/>
    </row>
    <row r="524" ht="22.5" customHeight="1">
      <c r="B524" s="19"/>
      <c r="C524" s="19"/>
      <c r="F524" s="28"/>
      <c r="I524" s="22"/>
    </row>
    <row r="525" ht="22.5" customHeight="1">
      <c r="B525" s="19"/>
      <c r="C525" s="19"/>
      <c r="F525" s="28"/>
      <c r="I525" s="22"/>
    </row>
    <row r="526" ht="22.5" customHeight="1">
      <c r="B526" s="19"/>
      <c r="C526" s="19"/>
      <c r="F526" s="28"/>
      <c r="I526" s="22"/>
    </row>
    <row r="527" ht="22.5" customHeight="1">
      <c r="B527" s="19"/>
      <c r="C527" s="19"/>
      <c r="F527" s="28"/>
      <c r="I527" s="22"/>
    </row>
    <row r="528" ht="22.5" customHeight="1">
      <c r="B528" s="19"/>
      <c r="C528" s="19"/>
      <c r="F528" s="28"/>
      <c r="I528" s="22"/>
    </row>
    <row r="529" ht="22.5" customHeight="1">
      <c r="B529" s="19"/>
      <c r="C529" s="19"/>
      <c r="F529" s="28"/>
      <c r="I529" s="22"/>
    </row>
    <row r="530" ht="22.5" customHeight="1">
      <c r="B530" s="19"/>
      <c r="C530" s="19"/>
      <c r="F530" s="28"/>
      <c r="I530" s="22"/>
    </row>
    <row r="531" ht="22.5" customHeight="1">
      <c r="B531" s="19"/>
      <c r="C531" s="19"/>
      <c r="F531" s="28"/>
      <c r="I531" s="22"/>
    </row>
    <row r="532" ht="22.5" customHeight="1">
      <c r="B532" s="19"/>
      <c r="C532" s="19"/>
      <c r="F532" s="28"/>
      <c r="I532" s="22"/>
    </row>
    <row r="533" ht="22.5" customHeight="1">
      <c r="B533" s="19"/>
      <c r="C533" s="19"/>
      <c r="F533" s="28"/>
      <c r="I533" s="22"/>
    </row>
    <row r="534" ht="22.5" customHeight="1">
      <c r="B534" s="19"/>
      <c r="C534" s="19"/>
      <c r="F534" s="28"/>
      <c r="I534" s="22"/>
    </row>
    <row r="535" ht="22.5" customHeight="1">
      <c r="B535" s="19"/>
      <c r="C535" s="19"/>
      <c r="F535" s="28"/>
      <c r="I535" s="22"/>
    </row>
    <row r="536" ht="22.5" customHeight="1">
      <c r="B536" s="19"/>
      <c r="C536" s="19"/>
      <c r="F536" s="28"/>
      <c r="I536" s="22"/>
    </row>
    <row r="537" ht="22.5" customHeight="1">
      <c r="B537" s="19"/>
      <c r="C537" s="19"/>
      <c r="F537" s="28"/>
      <c r="I537" s="22"/>
    </row>
    <row r="538" ht="22.5" customHeight="1">
      <c r="B538" s="19"/>
      <c r="C538" s="19"/>
      <c r="F538" s="28"/>
      <c r="I538" s="22"/>
    </row>
    <row r="539" ht="22.5" customHeight="1">
      <c r="B539" s="19"/>
      <c r="C539" s="19"/>
      <c r="F539" s="28"/>
      <c r="I539" s="22"/>
    </row>
    <row r="540" ht="22.5" customHeight="1">
      <c r="B540" s="19"/>
      <c r="C540" s="19"/>
      <c r="F540" s="28"/>
      <c r="I540" s="22"/>
    </row>
    <row r="541" ht="22.5" customHeight="1">
      <c r="B541" s="19"/>
      <c r="C541" s="19"/>
      <c r="F541" s="28"/>
      <c r="I541" s="22"/>
    </row>
    <row r="542" ht="22.5" customHeight="1">
      <c r="B542" s="19"/>
      <c r="C542" s="19"/>
      <c r="F542" s="28"/>
      <c r="I542" s="22"/>
    </row>
    <row r="543" ht="22.5" customHeight="1">
      <c r="B543" s="19"/>
      <c r="C543" s="19"/>
      <c r="F543" s="28"/>
      <c r="I543" s="22"/>
    </row>
    <row r="544" ht="22.5" customHeight="1">
      <c r="B544" s="19"/>
      <c r="C544" s="19"/>
      <c r="F544" s="28"/>
      <c r="I544" s="22"/>
    </row>
    <row r="545" ht="22.5" customHeight="1">
      <c r="B545" s="19"/>
      <c r="C545" s="19"/>
      <c r="F545" s="28"/>
      <c r="I545" s="22"/>
    </row>
    <row r="546" ht="22.5" customHeight="1">
      <c r="B546" s="19"/>
      <c r="C546" s="19"/>
      <c r="F546" s="28"/>
      <c r="I546" s="22"/>
    </row>
    <row r="547" ht="22.5" customHeight="1">
      <c r="B547" s="19"/>
      <c r="C547" s="19"/>
      <c r="F547" s="28"/>
      <c r="I547" s="22"/>
    </row>
    <row r="548" ht="22.5" customHeight="1">
      <c r="B548" s="19"/>
      <c r="C548" s="19"/>
      <c r="F548" s="28"/>
      <c r="I548" s="22"/>
    </row>
    <row r="549" ht="22.5" customHeight="1">
      <c r="B549" s="19"/>
      <c r="C549" s="19"/>
      <c r="F549" s="28"/>
      <c r="I549" s="22"/>
    </row>
    <row r="550" ht="22.5" customHeight="1">
      <c r="B550" s="19"/>
      <c r="C550" s="19"/>
      <c r="F550" s="28"/>
      <c r="I550" s="22"/>
    </row>
    <row r="551" ht="22.5" customHeight="1">
      <c r="B551" s="19"/>
      <c r="C551" s="19"/>
      <c r="F551" s="28"/>
      <c r="I551" s="22"/>
    </row>
    <row r="552" ht="22.5" customHeight="1">
      <c r="B552" s="19"/>
      <c r="C552" s="19"/>
      <c r="F552" s="28"/>
      <c r="I552" s="22"/>
    </row>
    <row r="553" ht="22.5" customHeight="1">
      <c r="B553" s="19"/>
      <c r="C553" s="19"/>
      <c r="F553" s="28"/>
      <c r="I553" s="22"/>
    </row>
    <row r="554" ht="22.5" customHeight="1">
      <c r="B554" s="19"/>
      <c r="C554" s="19"/>
      <c r="F554" s="28"/>
      <c r="I554" s="22"/>
    </row>
    <row r="555" ht="22.5" customHeight="1">
      <c r="B555" s="19"/>
      <c r="C555" s="19"/>
      <c r="F555" s="28"/>
      <c r="I555" s="22"/>
    </row>
    <row r="556" ht="22.5" customHeight="1">
      <c r="B556" s="19"/>
      <c r="C556" s="19"/>
      <c r="F556" s="28"/>
      <c r="I556" s="22"/>
    </row>
    <row r="557" ht="22.5" customHeight="1">
      <c r="B557" s="19"/>
      <c r="C557" s="19"/>
      <c r="F557" s="28"/>
      <c r="I557" s="22"/>
    </row>
    <row r="558" ht="22.5" customHeight="1">
      <c r="B558" s="19"/>
      <c r="C558" s="19"/>
      <c r="F558" s="28"/>
      <c r="I558" s="22"/>
    </row>
    <row r="559" ht="22.5" customHeight="1">
      <c r="B559" s="19"/>
      <c r="C559" s="19"/>
      <c r="F559" s="28"/>
      <c r="I559" s="22"/>
    </row>
    <row r="560" ht="22.5" customHeight="1">
      <c r="B560" s="19"/>
      <c r="C560" s="19"/>
      <c r="F560" s="28"/>
      <c r="I560" s="22"/>
    </row>
    <row r="561" ht="22.5" customHeight="1">
      <c r="B561" s="19"/>
      <c r="C561" s="19"/>
      <c r="F561" s="28"/>
      <c r="I561" s="22"/>
    </row>
    <row r="562" ht="22.5" customHeight="1">
      <c r="B562" s="19"/>
      <c r="C562" s="19"/>
      <c r="F562" s="28"/>
      <c r="I562" s="22"/>
    </row>
    <row r="563" ht="22.5" customHeight="1">
      <c r="B563" s="19"/>
      <c r="C563" s="19"/>
      <c r="F563" s="28"/>
      <c r="I563" s="22"/>
    </row>
    <row r="564" ht="22.5" customHeight="1">
      <c r="B564" s="19"/>
      <c r="C564" s="19"/>
      <c r="F564" s="28"/>
      <c r="I564" s="22"/>
    </row>
    <row r="565" ht="22.5" customHeight="1">
      <c r="B565" s="19"/>
      <c r="C565" s="19"/>
      <c r="F565" s="28"/>
      <c r="I565" s="22"/>
    </row>
    <row r="566" ht="22.5" customHeight="1">
      <c r="B566" s="19"/>
      <c r="C566" s="19"/>
      <c r="F566" s="28"/>
      <c r="I566" s="22"/>
    </row>
    <row r="567" ht="22.5" customHeight="1">
      <c r="B567" s="19"/>
      <c r="C567" s="19"/>
      <c r="F567" s="28"/>
      <c r="I567" s="22"/>
    </row>
    <row r="568" ht="22.5" customHeight="1">
      <c r="B568" s="19"/>
      <c r="C568" s="19"/>
      <c r="F568" s="28"/>
      <c r="I568" s="22"/>
    </row>
    <row r="569" ht="22.5" customHeight="1">
      <c r="B569" s="19"/>
      <c r="C569" s="19"/>
      <c r="F569" s="28"/>
      <c r="I569" s="22"/>
    </row>
    <row r="570" ht="22.5" customHeight="1">
      <c r="B570" s="19"/>
      <c r="C570" s="19"/>
      <c r="F570" s="28"/>
      <c r="I570" s="22"/>
    </row>
    <row r="571" ht="22.5" customHeight="1">
      <c r="B571" s="19"/>
      <c r="C571" s="19"/>
      <c r="F571" s="28"/>
      <c r="I571" s="22"/>
    </row>
    <row r="572" ht="22.5" customHeight="1">
      <c r="B572" s="19"/>
      <c r="C572" s="19"/>
      <c r="F572" s="28"/>
      <c r="I572" s="22"/>
    </row>
    <row r="573" ht="22.5" customHeight="1">
      <c r="B573" s="19"/>
      <c r="C573" s="19"/>
      <c r="F573" s="28"/>
      <c r="I573" s="22"/>
    </row>
    <row r="574" ht="22.5" customHeight="1">
      <c r="B574" s="19"/>
      <c r="C574" s="19"/>
      <c r="F574" s="28"/>
      <c r="I574" s="22"/>
    </row>
    <row r="575" ht="22.5" customHeight="1">
      <c r="B575" s="19"/>
      <c r="C575" s="19"/>
      <c r="F575" s="28"/>
      <c r="I575" s="22"/>
    </row>
    <row r="576" ht="22.5" customHeight="1">
      <c r="B576" s="19"/>
      <c r="C576" s="19"/>
      <c r="F576" s="28"/>
      <c r="I576" s="22"/>
    </row>
    <row r="577" ht="22.5" customHeight="1">
      <c r="B577" s="19"/>
      <c r="C577" s="19"/>
      <c r="F577" s="28"/>
      <c r="I577" s="22"/>
    </row>
    <row r="578" ht="22.5" customHeight="1">
      <c r="B578" s="19"/>
      <c r="C578" s="19"/>
      <c r="F578" s="28"/>
      <c r="I578" s="22"/>
    </row>
    <row r="579" ht="22.5" customHeight="1">
      <c r="B579" s="19"/>
      <c r="C579" s="19"/>
      <c r="F579" s="28"/>
      <c r="I579" s="22"/>
    </row>
    <row r="580" ht="22.5" customHeight="1">
      <c r="B580" s="19"/>
      <c r="C580" s="19"/>
      <c r="F580" s="28"/>
      <c r="I580" s="22"/>
    </row>
    <row r="581" ht="22.5" customHeight="1">
      <c r="B581" s="19"/>
      <c r="C581" s="19"/>
      <c r="F581" s="28"/>
      <c r="I581" s="22"/>
    </row>
    <row r="582" ht="22.5" customHeight="1">
      <c r="B582" s="19"/>
      <c r="C582" s="19"/>
      <c r="F582" s="28"/>
      <c r="I582" s="22"/>
    </row>
    <row r="583" ht="22.5" customHeight="1">
      <c r="B583" s="19"/>
      <c r="C583" s="19"/>
      <c r="F583" s="28"/>
      <c r="I583" s="22"/>
    </row>
    <row r="584" ht="22.5" customHeight="1">
      <c r="B584" s="19"/>
      <c r="C584" s="19"/>
      <c r="F584" s="28"/>
      <c r="I584" s="22"/>
    </row>
    <row r="585" ht="22.5" customHeight="1">
      <c r="B585" s="19"/>
      <c r="C585" s="19"/>
      <c r="F585" s="28"/>
      <c r="I585" s="22"/>
    </row>
    <row r="586" ht="22.5" customHeight="1">
      <c r="B586" s="19"/>
      <c r="C586" s="19"/>
      <c r="F586" s="28"/>
      <c r="I586" s="22"/>
    </row>
    <row r="587" ht="22.5" customHeight="1">
      <c r="B587" s="19"/>
      <c r="C587" s="19"/>
      <c r="F587" s="28"/>
      <c r="I587" s="22"/>
    </row>
    <row r="588" ht="22.5" customHeight="1">
      <c r="B588" s="19"/>
      <c r="C588" s="19"/>
      <c r="F588" s="28"/>
      <c r="I588" s="22"/>
    </row>
    <row r="589" ht="22.5" customHeight="1">
      <c r="B589" s="19"/>
      <c r="C589" s="19"/>
      <c r="F589" s="28"/>
      <c r="I589" s="22"/>
    </row>
    <row r="590" ht="22.5" customHeight="1">
      <c r="B590" s="19"/>
      <c r="C590" s="19"/>
      <c r="F590" s="28"/>
      <c r="I590" s="22"/>
    </row>
    <row r="591" ht="22.5" customHeight="1">
      <c r="B591" s="19"/>
      <c r="C591" s="19"/>
      <c r="F591" s="28"/>
      <c r="I591" s="22"/>
    </row>
    <row r="592" ht="22.5" customHeight="1">
      <c r="B592" s="19"/>
      <c r="C592" s="19"/>
      <c r="F592" s="28"/>
      <c r="I592" s="22"/>
    </row>
    <row r="593" ht="22.5" customHeight="1">
      <c r="B593" s="19"/>
      <c r="C593" s="19"/>
      <c r="F593" s="28"/>
      <c r="I593" s="22"/>
    </row>
    <row r="594" ht="22.5" customHeight="1">
      <c r="B594" s="19"/>
      <c r="C594" s="19"/>
      <c r="F594" s="28"/>
      <c r="I594" s="22"/>
    </row>
    <row r="595" ht="22.5" customHeight="1">
      <c r="B595" s="19"/>
      <c r="C595" s="19"/>
      <c r="F595" s="28"/>
      <c r="I595" s="22"/>
    </row>
    <row r="596" ht="22.5" customHeight="1">
      <c r="B596" s="19"/>
      <c r="C596" s="19"/>
      <c r="F596" s="28"/>
      <c r="I596" s="22"/>
    </row>
    <row r="597" ht="22.5" customHeight="1">
      <c r="B597" s="19"/>
      <c r="C597" s="19"/>
      <c r="F597" s="28"/>
      <c r="I597" s="22"/>
    </row>
    <row r="598" ht="22.5" customHeight="1">
      <c r="B598" s="19"/>
      <c r="C598" s="19"/>
      <c r="F598" s="28"/>
      <c r="I598" s="22"/>
    </row>
    <row r="599" ht="22.5" customHeight="1">
      <c r="B599" s="19"/>
      <c r="C599" s="19"/>
      <c r="F599" s="28"/>
      <c r="I599" s="22"/>
    </row>
    <row r="600" ht="22.5" customHeight="1">
      <c r="B600" s="19"/>
      <c r="C600" s="19"/>
      <c r="F600" s="28"/>
      <c r="I600" s="22"/>
    </row>
    <row r="601" ht="22.5" customHeight="1">
      <c r="B601" s="19"/>
      <c r="C601" s="19"/>
      <c r="F601" s="28"/>
      <c r="I601" s="22"/>
    </row>
    <row r="602" ht="22.5" customHeight="1">
      <c r="B602" s="19"/>
      <c r="C602" s="19"/>
      <c r="F602" s="28"/>
      <c r="I602" s="22"/>
    </row>
    <row r="603" ht="22.5" customHeight="1">
      <c r="B603" s="19"/>
      <c r="C603" s="19"/>
      <c r="F603" s="28"/>
      <c r="I603" s="22"/>
    </row>
    <row r="604" ht="22.5" customHeight="1">
      <c r="B604" s="19"/>
      <c r="C604" s="19"/>
      <c r="F604" s="28"/>
      <c r="I604" s="22"/>
    </row>
    <row r="605" ht="22.5" customHeight="1">
      <c r="B605" s="19"/>
      <c r="C605" s="19"/>
      <c r="F605" s="28"/>
      <c r="I605" s="22"/>
    </row>
    <row r="606" ht="22.5" customHeight="1">
      <c r="B606" s="19"/>
      <c r="C606" s="19"/>
      <c r="F606" s="28"/>
      <c r="I606" s="22"/>
    </row>
    <row r="607" ht="22.5" customHeight="1">
      <c r="B607" s="19"/>
      <c r="C607" s="19"/>
      <c r="F607" s="28"/>
      <c r="I607" s="22"/>
    </row>
    <row r="608" ht="22.5" customHeight="1">
      <c r="B608" s="19"/>
      <c r="C608" s="19"/>
      <c r="F608" s="28"/>
      <c r="I608" s="22"/>
    </row>
    <row r="609" ht="22.5" customHeight="1">
      <c r="B609" s="19"/>
      <c r="C609" s="19"/>
      <c r="F609" s="28"/>
      <c r="I609" s="22"/>
    </row>
    <row r="610" ht="22.5" customHeight="1">
      <c r="B610" s="19"/>
      <c r="C610" s="19"/>
      <c r="F610" s="28"/>
      <c r="I610" s="22"/>
    </row>
    <row r="611" ht="22.5" customHeight="1">
      <c r="B611" s="19"/>
      <c r="C611" s="19"/>
      <c r="F611" s="28"/>
      <c r="I611" s="22"/>
    </row>
    <row r="612" ht="22.5" customHeight="1">
      <c r="B612" s="19"/>
      <c r="C612" s="19"/>
      <c r="F612" s="28"/>
      <c r="I612" s="22"/>
    </row>
    <row r="613" ht="22.5" customHeight="1">
      <c r="B613" s="19"/>
      <c r="C613" s="19"/>
      <c r="F613" s="28"/>
      <c r="I613" s="22"/>
    </row>
    <row r="614" ht="22.5" customHeight="1">
      <c r="B614" s="19"/>
      <c r="C614" s="19"/>
      <c r="F614" s="28"/>
      <c r="I614" s="22"/>
    </row>
    <row r="615" ht="22.5" customHeight="1">
      <c r="B615" s="19"/>
      <c r="C615" s="19"/>
      <c r="F615" s="28"/>
      <c r="I615" s="22"/>
    </row>
    <row r="616" ht="22.5" customHeight="1">
      <c r="B616" s="19"/>
      <c r="C616" s="19"/>
      <c r="F616" s="28"/>
      <c r="I616" s="22"/>
    </row>
    <row r="617" ht="22.5" customHeight="1">
      <c r="B617" s="19"/>
      <c r="C617" s="19"/>
      <c r="F617" s="28"/>
      <c r="I617" s="22"/>
    </row>
    <row r="618" ht="22.5" customHeight="1">
      <c r="B618" s="19"/>
      <c r="C618" s="19"/>
      <c r="F618" s="28"/>
      <c r="I618" s="22"/>
    </row>
    <row r="619" ht="22.5" customHeight="1">
      <c r="B619" s="19"/>
      <c r="C619" s="19"/>
      <c r="F619" s="28"/>
      <c r="I619" s="22"/>
    </row>
    <row r="620" ht="22.5" customHeight="1">
      <c r="B620" s="19"/>
      <c r="C620" s="19"/>
      <c r="F620" s="28"/>
      <c r="I620" s="22"/>
    </row>
    <row r="621" ht="22.5" customHeight="1">
      <c r="B621" s="19"/>
      <c r="C621" s="19"/>
      <c r="F621" s="28"/>
      <c r="I621" s="22"/>
    </row>
    <row r="622" ht="22.5" customHeight="1">
      <c r="B622" s="19"/>
      <c r="C622" s="19"/>
      <c r="F622" s="28"/>
      <c r="I622" s="22"/>
    </row>
    <row r="623" ht="22.5" customHeight="1">
      <c r="B623" s="19"/>
      <c r="C623" s="19"/>
      <c r="F623" s="28"/>
      <c r="I623" s="22"/>
    </row>
    <row r="624" ht="22.5" customHeight="1">
      <c r="B624" s="19"/>
      <c r="C624" s="19"/>
      <c r="F624" s="28"/>
      <c r="I624" s="22"/>
    </row>
    <row r="625" ht="22.5" customHeight="1">
      <c r="B625" s="19"/>
      <c r="C625" s="19"/>
      <c r="F625" s="28"/>
      <c r="I625" s="22"/>
    </row>
    <row r="626" ht="22.5" customHeight="1">
      <c r="B626" s="19"/>
      <c r="C626" s="19"/>
      <c r="F626" s="28"/>
      <c r="I626" s="22"/>
    </row>
    <row r="627" ht="22.5" customHeight="1">
      <c r="B627" s="19"/>
      <c r="C627" s="19"/>
      <c r="F627" s="28"/>
      <c r="I627" s="22"/>
    </row>
    <row r="628" ht="22.5" customHeight="1">
      <c r="B628" s="19"/>
      <c r="C628" s="19"/>
      <c r="F628" s="28"/>
      <c r="I628" s="22"/>
    </row>
    <row r="629" ht="22.5" customHeight="1">
      <c r="B629" s="19"/>
      <c r="C629" s="19"/>
      <c r="F629" s="28"/>
      <c r="I629" s="22"/>
    </row>
    <row r="630" ht="22.5" customHeight="1">
      <c r="B630" s="19"/>
      <c r="C630" s="19"/>
      <c r="F630" s="28"/>
      <c r="I630" s="22"/>
    </row>
    <row r="631" ht="22.5" customHeight="1">
      <c r="B631" s="19"/>
      <c r="C631" s="19"/>
      <c r="F631" s="28"/>
      <c r="I631" s="22"/>
    </row>
    <row r="632" ht="22.5" customHeight="1">
      <c r="B632" s="19"/>
      <c r="C632" s="19"/>
      <c r="F632" s="28"/>
      <c r="I632" s="22"/>
    </row>
    <row r="633" ht="22.5" customHeight="1">
      <c r="B633" s="19"/>
      <c r="C633" s="19"/>
      <c r="F633" s="28"/>
      <c r="I633" s="22"/>
    </row>
    <row r="634" ht="22.5" customHeight="1">
      <c r="B634" s="19"/>
      <c r="C634" s="19"/>
      <c r="F634" s="28"/>
      <c r="I634" s="22"/>
    </row>
    <row r="635" ht="22.5" customHeight="1">
      <c r="B635" s="19"/>
      <c r="C635" s="19"/>
      <c r="F635" s="28"/>
      <c r="I635" s="22"/>
    </row>
    <row r="636" ht="22.5" customHeight="1">
      <c r="B636" s="19"/>
      <c r="C636" s="19"/>
      <c r="F636" s="28"/>
      <c r="I636" s="22"/>
    </row>
    <row r="637" ht="22.5" customHeight="1">
      <c r="B637" s="19"/>
      <c r="C637" s="19"/>
      <c r="F637" s="28"/>
      <c r="I637" s="22"/>
    </row>
    <row r="638" ht="22.5" customHeight="1">
      <c r="B638" s="19"/>
      <c r="C638" s="19"/>
      <c r="F638" s="28"/>
      <c r="I638" s="22"/>
    </row>
    <row r="639" ht="22.5" customHeight="1">
      <c r="B639" s="19"/>
      <c r="C639" s="19"/>
      <c r="F639" s="28"/>
      <c r="I639" s="22"/>
    </row>
    <row r="640" ht="22.5" customHeight="1">
      <c r="B640" s="19"/>
      <c r="C640" s="19"/>
      <c r="F640" s="28"/>
      <c r="I640" s="22"/>
    </row>
    <row r="641" ht="22.5" customHeight="1">
      <c r="B641" s="19"/>
      <c r="C641" s="19"/>
      <c r="F641" s="28"/>
      <c r="I641" s="22"/>
    </row>
    <row r="642" ht="22.5" customHeight="1">
      <c r="B642" s="19"/>
      <c r="C642" s="19"/>
      <c r="F642" s="28"/>
      <c r="I642" s="22"/>
    </row>
    <row r="643" ht="22.5" customHeight="1">
      <c r="B643" s="19"/>
      <c r="C643" s="19"/>
      <c r="F643" s="28"/>
      <c r="I643" s="22"/>
    </row>
    <row r="644" ht="22.5" customHeight="1">
      <c r="B644" s="19"/>
      <c r="C644" s="19"/>
      <c r="F644" s="28"/>
      <c r="I644" s="22"/>
    </row>
    <row r="645" ht="22.5" customHeight="1">
      <c r="B645" s="19"/>
      <c r="C645" s="19"/>
      <c r="F645" s="28"/>
      <c r="I645" s="22"/>
    </row>
    <row r="646" ht="22.5" customHeight="1">
      <c r="B646" s="19"/>
      <c r="C646" s="19"/>
      <c r="F646" s="28"/>
      <c r="I646" s="22"/>
    </row>
    <row r="647" ht="22.5" customHeight="1">
      <c r="B647" s="19"/>
      <c r="C647" s="19"/>
      <c r="F647" s="28"/>
      <c r="I647" s="22"/>
    </row>
    <row r="648" ht="22.5" customHeight="1">
      <c r="B648" s="19"/>
      <c r="C648" s="19"/>
      <c r="F648" s="28"/>
      <c r="I648" s="22"/>
    </row>
    <row r="649" ht="22.5" customHeight="1">
      <c r="B649" s="19"/>
      <c r="C649" s="19"/>
      <c r="F649" s="28"/>
      <c r="I649" s="22"/>
    </row>
    <row r="650" ht="22.5" customHeight="1">
      <c r="B650" s="19"/>
      <c r="C650" s="19"/>
      <c r="F650" s="28"/>
      <c r="I650" s="22"/>
    </row>
    <row r="651" ht="22.5" customHeight="1">
      <c r="B651" s="19"/>
      <c r="C651" s="19"/>
      <c r="F651" s="28"/>
      <c r="I651" s="22"/>
    </row>
    <row r="652" ht="22.5" customHeight="1">
      <c r="B652" s="19"/>
      <c r="C652" s="19"/>
      <c r="F652" s="28"/>
      <c r="I652" s="22"/>
    </row>
    <row r="653" ht="22.5" customHeight="1">
      <c r="B653" s="19"/>
      <c r="C653" s="19"/>
      <c r="F653" s="28"/>
      <c r="I653" s="22"/>
    </row>
    <row r="654" ht="22.5" customHeight="1">
      <c r="B654" s="19"/>
      <c r="C654" s="19"/>
      <c r="F654" s="28"/>
      <c r="I654" s="22"/>
    </row>
    <row r="655" ht="22.5" customHeight="1">
      <c r="B655" s="19"/>
      <c r="C655" s="19"/>
      <c r="F655" s="28"/>
      <c r="I655" s="22"/>
    </row>
    <row r="656" ht="22.5" customHeight="1">
      <c r="B656" s="19"/>
      <c r="C656" s="19"/>
      <c r="F656" s="28"/>
      <c r="I656" s="22"/>
    </row>
    <row r="657" ht="22.5" customHeight="1">
      <c r="B657" s="19"/>
      <c r="C657" s="19"/>
      <c r="F657" s="28"/>
      <c r="I657" s="22"/>
    </row>
    <row r="658" ht="22.5" customHeight="1">
      <c r="B658" s="19"/>
      <c r="C658" s="19"/>
      <c r="F658" s="28"/>
      <c r="I658" s="22"/>
    </row>
    <row r="659" ht="22.5" customHeight="1">
      <c r="B659" s="19"/>
      <c r="C659" s="19"/>
      <c r="F659" s="28"/>
      <c r="I659" s="22"/>
    </row>
    <row r="660" ht="22.5" customHeight="1">
      <c r="B660" s="19"/>
      <c r="C660" s="19"/>
      <c r="F660" s="28"/>
      <c r="I660" s="22"/>
    </row>
    <row r="661" ht="22.5" customHeight="1">
      <c r="B661" s="19"/>
      <c r="C661" s="19"/>
      <c r="F661" s="28"/>
      <c r="I661" s="22"/>
    </row>
    <row r="662" ht="22.5" customHeight="1">
      <c r="B662" s="19"/>
      <c r="C662" s="19"/>
      <c r="F662" s="28"/>
      <c r="I662" s="22"/>
    </row>
    <row r="663" ht="22.5" customHeight="1">
      <c r="B663" s="19"/>
      <c r="C663" s="19"/>
      <c r="F663" s="28"/>
      <c r="I663" s="22"/>
    </row>
    <row r="664" ht="22.5" customHeight="1">
      <c r="B664" s="19"/>
      <c r="C664" s="19"/>
      <c r="F664" s="28"/>
      <c r="I664" s="22"/>
    </row>
    <row r="665" ht="22.5" customHeight="1">
      <c r="B665" s="19"/>
      <c r="C665" s="19"/>
      <c r="F665" s="28"/>
      <c r="I665" s="22"/>
    </row>
    <row r="666" ht="22.5" customHeight="1">
      <c r="B666" s="19"/>
      <c r="C666" s="19"/>
      <c r="F666" s="28"/>
      <c r="I666" s="22"/>
    </row>
    <row r="667" ht="22.5" customHeight="1">
      <c r="B667" s="19"/>
      <c r="C667" s="19"/>
      <c r="F667" s="28"/>
      <c r="I667" s="22"/>
    </row>
    <row r="668" ht="22.5" customHeight="1">
      <c r="B668" s="19"/>
      <c r="C668" s="19"/>
      <c r="F668" s="28"/>
      <c r="I668" s="22"/>
    </row>
    <row r="669" ht="22.5" customHeight="1">
      <c r="B669" s="19"/>
      <c r="C669" s="19"/>
      <c r="F669" s="28"/>
      <c r="I669" s="22"/>
    </row>
    <row r="670" ht="22.5" customHeight="1">
      <c r="B670" s="19"/>
      <c r="C670" s="19"/>
      <c r="F670" s="28"/>
      <c r="I670" s="22"/>
    </row>
    <row r="671" ht="22.5" customHeight="1">
      <c r="B671" s="19"/>
      <c r="C671" s="19"/>
      <c r="F671" s="28"/>
      <c r="I671" s="22"/>
    </row>
    <row r="672" ht="22.5" customHeight="1">
      <c r="B672" s="19"/>
      <c r="C672" s="19"/>
      <c r="F672" s="28"/>
      <c r="I672" s="22"/>
    </row>
    <row r="673" ht="22.5" customHeight="1">
      <c r="B673" s="19"/>
      <c r="C673" s="19"/>
      <c r="F673" s="28"/>
      <c r="I673" s="22"/>
    </row>
    <row r="674" ht="22.5" customHeight="1">
      <c r="B674" s="19"/>
      <c r="C674" s="19"/>
      <c r="F674" s="28"/>
      <c r="I674" s="22"/>
    </row>
    <row r="675" ht="22.5" customHeight="1">
      <c r="B675" s="19"/>
      <c r="C675" s="19"/>
      <c r="F675" s="28"/>
      <c r="I675" s="22"/>
    </row>
    <row r="676" ht="22.5" customHeight="1">
      <c r="B676" s="19"/>
      <c r="C676" s="19"/>
      <c r="F676" s="28"/>
      <c r="I676" s="22"/>
    </row>
    <row r="677" ht="22.5" customHeight="1">
      <c r="B677" s="19"/>
      <c r="C677" s="19"/>
      <c r="F677" s="28"/>
      <c r="I677" s="22"/>
    </row>
    <row r="678" ht="22.5" customHeight="1">
      <c r="B678" s="19"/>
      <c r="C678" s="19"/>
      <c r="F678" s="28"/>
      <c r="I678" s="22"/>
    </row>
    <row r="679" ht="22.5" customHeight="1">
      <c r="B679" s="19"/>
      <c r="C679" s="19"/>
      <c r="F679" s="28"/>
      <c r="I679" s="22"/>
    </row>
    <row r="680" ht="22.5" customHeight="1">
      <c r="B680" s="19"/>
      <c r="C680" s="19"/>
      <c r="F680" s="28"/>
      <c r="I680" s="22"/>
    </row>
    <row r="681" ht="22.5" customHeight="1">
      <c r="B681" s="19"/>
      <c r="C681" s="19"/>
      <c r="F681" s="28"/>
      <c r="I681" s="22"/>
    </row>
    <row r="682" ht="22.5" customHeight="1">
      <c r="B682" s="19"/>
      <c r="C682" s="19"/>
      <c r="F682" s="28"/>
      <c r="I682" s="22"/>
    </row>
    <row r="683" ht="22.5" customHeight="1">
      <c r="B683" s="19"/>
      <c r="C683" s="19"/>
      <c r="F683" s="28"/>
      <c r="I683" s="22"/>
    </row>
    <row r="684" ht="22.5" customHeight="1">
      <c r="B684" s="19"/>
      <c r="C684" s="19"/>
      <c r="F684" s="28"/>
      <c r="I684" s="22"/>
    </row>
    <row r="685" ht="22.5" customHeight="1">
      <c r="B685" s="19"/>
      <c r="C685" s="19"/>
      <c r="F685" s="28"/>
      <c r="I685" s="22"/>
    </row>
    <row r="686" ht="22.5" customHeight="1">
      <c r="B686" s="19"/>
      <c r="C686" s="19"/>
      <c r="F686" s="28"/>
      <c r="I686" s="22"/>
    </row>
    <row r="687" ht="22.5" customHeight="1">
      <c r="B687" s="19"/>
      <c r="C687" s="19"/>
      <c r="F687" s="28"/>
      <c r="I687" s="22"/>
    </row>
    <row r="688" ht="22.5" customHeight="1">
      <c r="B688" s="19"/>
      <c r="C688" s="19"/>
      <c r="F688" s="28"/>
      <c r="I688" s="22"/>
    </row>
    <row r="689" ht="22.5" customHeight="1">
      <c r="B689" s="19"/>
      <c r="C689" s="19"/>
      <c r="F689" s="28"/>
      <c r="I689" s="22"/>
    </row>
    <row r="690" ht="22.5" customHeight="1">
      <c r="B690" s="19"/>
      <c r="C690" s="19"/>
      <c r="F690" s="28"/>
      <c r="I690" s="22"/>
    </row>
    <row r="691" ht="22.5" customHeight="1">
      <c r="B691" s="19"/>
      <c r="C691" s="19"/>
      <c r="F691" s="28"/>
      <c r="I691" s="22"/>
    </row>
    <row r="692" ht="22.5" customHeight="1">
      <c r="B692" s="19"/>
      <c r="C692" s="19"/>
      <c r="F692" s="28"/>
      <c r="I692" s="22"/>
    </row>
    <row r="693" ht="22.5" customHeight="1">
      <c r="B693" s="19"/>
      <c r="C693" s="19"/>
      <c r="F693" s="28"/>
      <c r="I693" s="22"/>
    </row>
    <row r="694" ht="22.5" customHeight="1">
      <c r="B694" s="19"/>
      <c r="C694" s="19"/>
      <c r="F694" s="28"/>
      <c r="I694" s="22"/>
    </row>
    <row r="695" ht="22.5" customHeight="1">
      <c r="B695" s="19"/>
      <c r="C695" s="19"/>
      <c r="F695" s="28"/>
      <c r="I695" s="22"/>
    </row>
    <row r="696" ht="22.5" customHeight="1">
      <c r="B696" s="19"/>
      <c r="C696" s="19"/>
      <c r="F696" s="28"/>
      <c r="I696" s="22"/>
    </row>
    <row r="697" ht="22.5" customHeight="1">
      <c r="B697" s="19"/>
      <c r="C697" s="19"/>
      <c r="F697" s="28"/>
      <c r="I697" s="22"/>
    </row>
    <row r="698" ht="22.5" customHeight="1">
      <c r="B698" s="19"/>
      <c r="C698" s="19"/>
      <c r="F698" s="28"/>
      <c r="I698" s="22"/>
    </row>
    <row r="699" ht="22.5" customHeight="1">
      <c r="B699" s="19"/>
      <c r="C699" s="19"/>
      <c r="F699" s="28"/>
      <c r="I699" s="22"/>
    </row>
    <row r="700" ht="22.5" customHeight="1">
      <c r="B700" s="19"/>
      <c r="C700" s="19"/>
      <c r="F700" s="28"/>
      <c r="I700" s="22"/>
    </row>
    <row r="701" ht="22.5" customHeight="1">
      <c r="B701" s="19"/>
      <c r="C701" s="19"/>
      <c r="F701" s="28"/>
      <c r="I701" s="22"/>
    </row>
    <row r="702" ht="22.5" customHeight="1">
      <c r="B702" s="19"/>
      <c r="C702" s="19"/>
      <c r="F702" s="28"/>
      <c r="I702" s="22"/>
    </row>
    <row r="703" ht="22.5" customHeight="1">
      <c r="B703" s="19"/>
      <c r="C703" s="19"/>
      <c r="F703" s="28"/>
      <c r="I703" s="22"/>
    </row>
    <row r="704" ht="22.5" customHeight="1">
      <c r="B704" s="19"/>
      <c r="C704" s="19"/>
      <c r="F704" s="28"/>
      <c r="I704" s="22"/>
    </row>
    <row r="705" ht="22.5" customHeight="1">
      <c r="B705" s="19"/>
      <c r="C705" s="19"/>
      <c r="F705" s="28"/>
      <c r="I705" s="22"/>
    </row>
    <row r="706" ht="22.5" customHeight="1">
      <c r="B706" s="19"/>
      <c r="C706" s="19"/>
      <c r="F706" s="28"/>
      <c r="I706" s="22"/>
    </row>
    <row r="707" ht="22.5" customHeight="1">
      <c r="B707" s="19"/>
      <c r="C707" s="19"/>
      <c r="F707" s="28"/>
      <c r="I707" s="22"/>
    </row>
    <row r="708" ht="22.5" customHeight="1">
      <c r="B708" s="19"/>
      <c r="C708" s="19"/>
      <c r="F708" s="28"/>
      <c r="I708" s="22"/>
    </row>
    <row r="709" ht="22.5" customHeight="1">
      <c r="B709" s="19"/>
      <c r="C709" s="19"/>
      <c r="F709" s="28"/>
      <c r="I709" s="22"/>
    </row>
    <row r="710" ht="22.5" customHeight="1">
      <c r="B710" s="19"/>
      <c r="C710" s="19"/>
      <c r="F710" s="28"/>
      <c r="I710" s="22"/>
    </row>
    <row r="711" ht="22.5" customHeight="1">
      <c r="B711" s="19"/>
      <c r="C711" s="19"/>
      <c r="F711" s="28"/>
      <c r="I711" s="22"/>
    </row>
    <row r="712" ht="22.5" customHeight="1">
      <c r="B712" s="19"/>
      <c r="C712" s="19"/>
      <c r="F712" s="28"/>
      <c r="I712" s="22"/>
    </row>
    <row r="713" ht="22.5" customHeight="1">
      <c r="B713" s="19"/>
      <c r="C713" s="19"/>
      <c r="F713" s="28"/>
      <c r="I713" s="22"/>
    </row>
    <row r="714" ht="22.5" customHeight="1">
      <c r="B714" s="19"/>
      <c r="C714" s="19"/>
      <c r="F714" s="28"/>
      <c r="I714" s="22"/>
    </row>
    <row r="715" ht="22.5" customHeight="1">
      <c r="B715" s="19"/>
      <c r="C715" s="19"/>
      <c r="F715" s="28"/>
      <c r="I715" s="22"/>
    </row>
    <row r="716" ht="22.5" customHeight="1">
      <c r="B716" s="19"/>
      <c r="C716" s="19"/>
      <c r="F716" s="28"/>
      <c r="I716" s="22"/>
    </row>
    <row r="717" ht="22.5" customHeight="1">
      <c r="B717" s="19"/>
      <c r="C717" s="19"/>
      <c r="F717" s="28"/>
      <c r="I717" s="22"/>
    </row>
    <row r="718" ht="22.5" customHeight="1">
      <c r="B718" s="19"/>
      <c r="C718" s="19"/>
      <c r="F718" s="28"/>
      <c r="I718" s="22"/>
    </row>
    <row r="719" ht="22.5" customHeight="1">
      <c r="B719" s="19"/>
      <c r="C719" s="19"/>
      <c r="F719" s="28"/>
      <c r="I719" s="22"/>
    </row>
    <row r="720" ht="22.5" customHeight="1">
      <c r="B720" s="19"/>
      <c r="C720" s="19"/>
      <c r="F720" s="28"/>
      <c r="I720" s="22"/>
    </row>
    <row r="721" ht="22.5" customHeight="1">
      <c r="B721" s="19"/>
      <c r="C721" s="19"/>
      <c r="F721" s="28"/>
      <c r="I721" s="22"/>
    </row>
    <row r="722" ht="22.5" customHeight="1">
      <c r="B722" s="19"/>
      <c r="C722" s="19"/>
      <c r="F722" s="28"/>
      <c r="I722" s="22"/>
    </row>
    <row r="723" ht="22.5" customHeight="1">
      <c r="B723" s="19"/>
      <c r="C723" s="19"/>
      <c r="F723" s="28"/>
      <c r="I723" s="22"/>
    </row>
    <row r="724" ht="22.5" customHeight="1">
      <c r="B724" s="19"/>
      <c r="C724" s="19"/>
      <c r="F724" s="28"/>
      <c r="I724" s="22"/>
    </row>
    <row r="725" ht="22.5" customHeight="1">
      <c r="B725" s="19"/>
      <c r="C725" s="19"/>
      <c r="F725" s="28"/>
      <c r="I725" s="22"/>
    </row>
    <row r="726" ht="22.5" customHeight="1">
      <c r="B726" s="19"/>
      <c r="C726" s="19"/>
      <c r="F726" s="28"/>
      <c r="I726" s="22"/>
    </row>
    <row r="727" ht="22.5" customHeight="1">
      <c r="B727" s="19"/>
      <c r="C727" s="19"/>
      <c r="F727" s="28"/>
      <c r="I727" s="22"/>
    </row>
    <row r="728" ht="22.5" customHeight="1">
      <c r="B728" s="19"/>
      <c r="C728" s="19"/>
      <c r="F728" s="28"/>
      <c r="I728" s="22"/>
    </row>
    <row r="729" ht="22.5" customHeight="1">
      <c r="B729" s="19"/>
      <c r="C729" s="19"/>
      <c r="F729" s="28"/>
      <c r="I729" s="22"/>
    </row>
    <row r="730" ht="22.5" customHeight="1">
      <c r="B730" s="19"/>
      <c r="C730" s="19"/>
      <c r="F730" s="28"/>
      <c r="I730" s="22"/>
    </row>
    <row r="731" ht="22.5" customHeight="1">
      <c r="B731" s="19"/>
      <c r="C731" s="19"/>
      <c r="F731" s="28"/>
      <c r="I731" s="22"/>
    </row>
    <row r="732" ht="22.5" customHeight="1">
      <c r="B732" s="19"/>
      <c r="C732" s="19"/>
      <c r="F732" s="28"/>
      <c r="I732" s="22"/>
    </row>
    <row r="733" ht="22.5" customHeight="1">
      <c r="B733" s="19"/>
      <c r="C733" s="19"/>
      <c r="F733" s="28"/>
      <c r="I733" s="22"/>
    </row>
    <row r="734" ht="22.5" customHeight="1">
      <c r="B734" s="19"/>
      <c r="C734" s="19"/>
      <c r="F734" s="28"/>
      <c r="I734" s="22"/>
    </row>
    <row r="735" ht="22.5" customHeight="1">
      <c r="B735" s="19"/>
      <c r="C735" s="19"/>
      <c r="F735" s="28"/>
      <c r="I735" s="22"/>
    </row>
    <row r="736" ht="22.5" customHeight="1">
      <c r="B736" s="19"/>
      <c r="C736" s="19"/>
      <c r="F736" s="28"/>
      <c r="I736" s="22"/>
    </row>
    <row r="737" ht="22.5" customHeight="1">
      <c r="B737" s="19"/>
      <c r="C737" s="19"/>
      <c r="F737" s="28"/>
      <c r="I737" s="22"/>
    </row>
    <row r="738" ht="22.5" customHeight="1">
      <c r="B738" s="19"/>
      <c r="C738" s="19"/>
      <c r="F738" s="28"/>
      <c r="I738" s="22"/>
    </row>
    <row r="739" ht="22.5" customHeight="1">
      <c r="B739" s="19"/>
      <c r="C739" s="19"/>
      <c r="F739" s="28"/>
      <c r="I739" s="22"/>
    </row>
    <row r="740" ht="22.5" customHeight="1">
      <c r="B740" s="19"/>
      <c r="C740" s="19"/>
      <c r="F740" s="28"/>
      <c r="I740" s="22"/>
    </row>
    <row r="741" ht="22.5" customHeight="1">
      <c r="B741" s="19"/>
      <c r="C741" s="19"/>
      <c r="F741" s="28"/>
      <c r="I741" s="22"/>
    </row>
    <row r="742" ht="22.5" customHeight="1">
      <c r="B742" s="19"/>
      <c r="C742" s="19"/>
      <c r="F742" s="28"/>
      <c r="I742" s="22"/>
    </row>
    <row r="743" ht="22.5" customHeight="1">
      <c r="B743" s="19"/>
      <c r="C743" s="19"/>
      <c r="F743" s="28"/>
      <c r="I743" s="22"/>
    </row>
    <row r="744" ht="22.5" customHeight="1">
      <c r="B744" s="19"/>
      <c r="C744" s="19"/>
      <c r="F744" s="28"/>
      <c r="I744" s="22"/>
    </row>
    <row r="745" ht="22.5" customHeight="1">
      <c r="B745" s="19"/>
      <c r="C745" s="19"/>
      <c r="F745" s="28"/>
      <c r="I745" s="22"/>
    </row>
    <row r="746" ht="22.5" customHeight="1">
      <c r="B746" s="19"/>
      <c r="C746" s="19"/>
      <c r="F746" s="28"/>
      <c r="I746" s="22"/>
    </row>
    <row r="747" ht="22.5" customHeight="1">
      <c r="B747" s="19"/>
      <c r="C747" s="19"/>
      <c r="F747" s="28"/>
      <c r="I747" s="22"/>
    </row>
    <row r="748" ht="22.5" customHeight="1">
      <c r="B748" s="19"/>
      <c r="C748" s="19"/>
      <c r="F748" s="28"/>
      <c r="I748" s="22"/>
    </row>
    <row r="749" ht="22.5" customHeight="1">
      <c r="B749" s="19"/>
      <c r="C749" s="19"/>
      <c r="F749" s="28"/>
      <c r="I749" s="22"/>
    </row>
    <row r="750" ht="22.5" customHeight="1">
      <c r="B750" s="19"/>
      <c r="C750" s="19"/>
      <c r="F750" s="28"/>
      <c r="I750" s="22"/>
    </row>
    <row r="751" ht="22.5" customHeight="1">
      <c r="B751" s="19"/>
      <c r="C751" s="19"/>
      <c r="F751" s="28"/>
      <c r="I751" s="22"/>
    </row>
    <row r="752" ht="22.5" customHeight="1">
      <c r="B752" s="19"/>
      <c r="C752" s="19"/>
      <c r="F752" s="28"/>
      <c r="I752" s="22"/>
    </row>
    <row r="753" ht="22.5" customHeight="1">
      <c r="B753" s="19"/>
      <c r="C753" s="19"/>
      <c r="F753" s="28"/>
      <c r="I753" s="22"/>
    </row>
    <row r="754" ht="22.5" customHeight="1">
      <c r="B754" s="19"/>
      <c r="C754" s="19"/>
      <c r="F754" s="28"/>
      <c r="I754" s="22"/>
    </row>
    <row r="755" ht="22.5" customHeight="1">
      <c r="B755" s="19"/>
      <c r="C755" s="19"/>
      <c r="F755" s="28"/>
      <c r="I755" s="22"/>
    </row>
    <row r="756" ht="22.5" customHeight="1">
      <c r="B756" s="19"/>
      <c r="C756" s="19"/>
      <c r="F756" s="28"/>
      <c r="I756" s="22"/>
    </row>
    <row r="757" ht="22.5" customHeight="1">
      <c r="B757" s="19"/>
      <c r="C757" s="19"/>
      <c r="F757" s="28"/>
      <c r="I757" s="22"/>
    </row>
    <row r="758" ht="22.5" customHeight="1">
      <c r="B758" s="19"/>
      <c r="C758" s="19"/>
      <c r="F758" s="28"/>
      <c r="I758" s="22"/>
    </row>
    <row r="759" ht="22.5" customHeight="1">
      <c r="B759" s="19"/>
      <c r="C759" s="19"/>
      <c r="F759" s="28"/>
      <c r="I759" s="22"/>
    </row>
    <row r="760" ht="22.5" customHeight="1">
      <c r="B760" s="19"/>
      <c r="C760" s="19"/>
      <c r="F760" s="28"/>
      <c r="I760" s="22"/>
    </row>
    <row r="761" ht="22.5" customHeight="1">
      <c r="B761" s="19"/>
      <c r="C761" s="19"/>
      <c r="F761" s="28"/>
      <c r="I761" s="22"/>
    </row>
    <row r="762" ht="22.5" customHeight="1">
      <c r="B762" s="19"/>
      <c r="C762" s="19"/>
      <c r="F762" s="28"/>
      <c r="I762" s="22"/>
    </row>
    <row r="763" ht="22.5" customHeight="1">
      <c r="B763" s="19"/>
      <c r="C763" s="19"/>
      <c r="F763" s="28"/>
      <c r="I763" s="22"/>
    </row>
    <row r="764" ht="22.5" customHeight="1">
      <c r="B764" s="19"/>
      <c r="C764" s="19"/>
      <c r="F764" s="28"/>
      <c r="I764" s="22"/>
    </row>
    <row r="765" ht="22.5" customHeight="1">
      <c r="B765" s="19"/>
      <c r="C765" s="19"/>
      <c r="F765" s="28"/>
      <c r="I765" s="22"/>
    </row>
    <row r="766" ht="22.5" customHeight="1">
      <c r="B766" s="19"/>
      <c r="C766" s="19"/>
      <c r="F766" s="28"/>
      <c r="I766" s="22"/>
    </row>
    <row r="767" ht="22.5" customHeight="1">
      <c r="B767" s="19"/>
      <c r="C767" s="19"/>
      <c r="F767" s="28"/>
      <c r="I767" s="22"/>
    </row>
    <row r="768" ht="22.5" customHeight="1">
      <c r="B768" s="19"/>
      <c r="C768" s="19"/>
      <c r="F768" s="28"/>
      <c r="I768" s="22"/>
    </row>
    <row r="769" ht="22.5" customHeight="1">
      <c r="B769" s="19"/>
      <c r="C769" s="19"/>
      <c r="F769" s="28"/>
      <c r="I769" s="22"/>
    </row>
    <row r="770" ht="22.5" customHeight="1">
      <c r="B770" s="19"/>
      <c r="C770" s="19"/>
      <c r="F770" s="28"/>
      <c r="I770" s="22"/>
    </row>
    <row r="771" ht="22.5" customHeight="1">
      <c r="B771" s="19"/>
      <c r="C771" s="19"/>
      <c r="F771" s="28"/>
      <c r="I771" s="22"/>
    </row>
    <row r="772" ht="22.5" customHeight="1">
      <c r="B772" s="19"/>
      <c r="C772" s="19"/>
      <c r="F772" s="28"/>
      <c r="I772" s="22"/>
    </row>
    <row r="773" ht="22.5" customHeight="1">
      <c r="B773" s="19"/>
      <c r="C773" s="19"/>
      <c r="F773" s="28"/>
      <c r="I773" s="22"/>
    </row>
    <row r="774" ht="22.5" customHeight="1">
      <c r="B774" s="19"/>
      <c r="C774" s="19"/>
      <c r="F774" s="28"/>
      <c r="I774" s="22"/>
    </row>
    <row r="775" ht="22.5" customHeight="1">
      <c r="B775" s="19"/>
      <c r="C775" s="19"/>
      <c r="F775" s="28"/>
      <c r="I775" s="22"/>
    </row>
    <row r="776" ht="22.5" customHeight="1">
      <c r="B776" s="19"/>
      <c r="C776" s="19"/>
      <c r="F776" s="28"/>
      <c r="I776" s="22"/>
    </row>
    <row r="777" ht="22.5" customHeight="1">
      <c r="B777" s="19"/>
      <c r="C777" s="19"/>
      <c r="F777" s="28"/>
      <c r="I777" s="22"/>
    </row>
    <row r="778" ht="22.5" customHeight="1">
      <c r="B778" s="19"/>
      <c r="C778" s="19"/>
      <c r="F778" s="28"/>
      <c r="I778" s="22"/>
    </row>
    <row r="779" ht="22.5" customHeight="1">
      <c r="B779" s="19"/>
      <c r="C779" s="19"/>
      <c r="F779" s="28"/>
      <c r="I779" s="22"/>
    </row>
    <row r="780" ht="22.5" customHeight="1">
      <c r="B780" s="19"/>
      <c r="C780" s="19"/>
      <c r="F780" s="28"/>
      <c r="I780" s="22"/>
    </row>
  </sheetData>
  <dataValidations>
    <dataValidation type="list" allowBlank="1" showInputMessage="1" prompt="Cliquez ici et saisissez une valeur dans la liste des éléments" sqref="I2:I780">
      <formula1>"Abritel,Airbnb,Chèque,Espèces,HomeExchange,Virement,A définir,Gites de France"</formula1>
    </dataValidation>
    <dataValidation type="custom" allowBlank="1" showDropDown="1" sqref="B2:C780">
      <formula1>OR(NOT(ISERROR(DATEVALUE(B2))), AND(ISNUMBER(B2), LEFT(CELL("format", B2))="D"))</formula1>
    </dataValidation>
    <dataValidation type="list" allowBlank="1" showInputMessage="1" prompt="Cliquez ici et saisissez une valeur dans la liste des éléments" sqref="J53">
      <formula1>"Abritel,Airbnb,Chèque,Espèces,HomeExchange,Virement,A définir,Gites de France"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25"/>
    <col customWidth="1" min="3" max="3" width="11.13"/>
    <col customWidth="1" min="4" max="4" width="13.88"/>
    <col customWidth="1" min="5" max="5" width="9.38"/>
    <col customWidth="1" min="6" max="6" width="10.38"/>
    <col customWidth="1" min="7" max="7" width="16.25"/>
    <col customWidth="1" min="8" max="8" width="15.0"/>
    <col customWidth="1" min="9" max="9" width="15.75"/>
    <col customWidth="1" min="10" max="10" width="63.75"/>
    <col customWidth="1" min="11" max="11" width="13.13"/>
    <col customWidth="1" min="12" max="12" width="21.38"/>
    <col customWidth="1" min="13" max="18" width="13.13"/>
    <col customWidth="1" min="19" max="19" width="14.0"/>
    <col customWidth="1" min="20" max="25" width="13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112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113</v>
      </c>
    </row>
    <row r="2" ht="22.5" customHeight="1">
      <c r="A2" s="10" t="s">
        <v>114</v>
      </c>
      <c r="B2" s="11">
        <v>45658.0</v>
      </c>
      <c r="C2" s="11">
        <v>45660.0</v>
      </c>
      <c r="D2" s="12" t="str">
        <f t="shared" ref="D2:D4" si="1">TEXT(B2 ,"mm (mmmm)")</f>
        <v>01 (janvier)</v>
      </c>
      <c r="E2" s="13">
        <f t="shared" ref="E2:E4" si="2">C2-B2</f>
        <v>2</v>
      </c>
      <c r="F2" s="14">
        <v>2.0</v>
      </c>
      <c r="G2" s="41">
        <v>63.0</v>
      </c>
      <c r="H2" s="42">
        <f t="shared" ref="H2:H4" si="3">G2*E2</f>
        <v>126</v>
      </c>
      <c r="I2" s="17" t="s">
        <v>25</v>
      </c>
      <c r="K2" s="43"/>
    </row>
    <row r="3" ht="22.5" customHeight="1">
      <c r="A3" s="10" t="s">
        <v>115</v>
      </c>
      <c r="B3" s="11">
        <v>45667.0</v>
      </c>
      <c r="C3" s="11">
        <v>45669.0</v>
      </c>
      <c r="D3" s="12" t="str">
        <f t="shared" si="1"/>
        <v>01 (janvier)</v>
      </c>
      <c r="E3" s="13">
        <f t="shared" si="2"/>
        <v>2</v>
      </c>
      <c r="F3" s="14">
        <v>2.0</v>
      </c>
      <c r="G3" s="41">
        <v>60.0</v>
      </c>
      <c r="H3" s="42">
        <f t="shared" si="3"/>
        <v>120</v>
      </c>
      <c r="I3" s="18" t="s">
        <v>27</v>
      </c>
      <c r="K3" s="43"/>
    </row>
    <row r="4" ht="22.5" customHeight="1">
      <c r="A4" s="10" t="s">
        <v>116</v>
      </c>
      <c r="B4" s="11">
        <v>45670.0</v>
      </c>
      <c r="C4" s="11">
        <v>45674.0</v>
      </c>
      <c r="D4" s="44" t="str">
        <f t="shared" si="1"/>
        <v>01 (janvier)</v>
      </c>
      <c r="E4" s="45">
        <f t="shared" si="2"/>
        <v>4</v>
      </c>
      <c r="F4" s="46">
        <v>2.0</v>
      </c>
      <c r="G4" s="47">
        <v>50.0</v>
      </c>
      <c r="H4" s="42">
        <f t="shared" si="3"/>
        <v>200</v>
      </c>
      <c r="I4" s="17" t="s">
        <v>25</v>
      </c>
      <c r="J4" s="48"/>
      <c r="K4" s="43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ht="22.5" customHeight="1">
      <c r="A5" s="28"/>
      <c r="B5" s="19"/>
      <c r="C5" s="19"/>
      <c r="E5" s="20"/>
      <c r="F5" s="21"/>
      <c r="G5" s="42"/>
      <c r="H5" s="42"/>
      <c r="I5" s="22"/>
      <c r="K5" s="43"/>
    </row>
    <row r="6" ht="22.5" customHeight="1">
      <c r="A6" s="10" t="s">
        <v>117</v>
      </c>
      <c r="B6" s="11">
        <v>45696.0</v>
      </c>
      <c r="C6" s="11">
        <v>45698.0</v>
      </c>
      <c r="D6" s="44" t="str">
        <f t="shared" ref="D6:D15" si="4">TEXT(B6 ,"mm (mmmm)")</f>
        <v>02 (février)</v>
      </c>
      <c r="E6" s="45">
        <f t="shared" ref="E6:E15" si="5">C6-B6</f>
        <v>2</v>
      </c>
      <c r="F6" s="46">
        <v>2.0</v>
      </c>
      <c r="G6" s="47">
        <v>50.0</v>
      </c>
      <c r="H6" s="42">
        <f t="shared" ref="H6:H15" si="6">G6*E6</f>
        <v>100</v>
      </c>
      <c r="I6" s="17" t="s">
        <v>25</v>
      </c>
      <c r="J6" s="48"/>
      <c r="K6" s="43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ht="22.5" customHeight="1">
      <c r="A7" s="10" t="s">
        <v>41</v>
      </c>
      <c r="B7" s="11">
        <v>45698.0</v>
      </c>
      <c r="C7" s="11">
        <v>45700.0</v>
      </c>
      <c r="D7" s="44" t="str">
        <f t="shared" si="4"/>
        <v>02 (février)</v>
      </c>
      <c r="E7" s="45">
        <f t="shared" si="5"/>
        <v>2</v>
      </c>
      <c r="F7" s="46">
        <v>2.0</v>
      </c>
      <c r="G7" s="47">
        <v>50.0</v>
      </c>
      <c r="H7" s="42">
        <f t="shared" si="6"/>
        <v>100</v>
      </c>
      <c r="I7" s="17" t="s">
        <v>25</v>
      </c>
      <c r="J7" s="48"/>
      <c r="K7" s="43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ht="22.5" customHeight="1">
      <c r="A8" s="10" t="s">
        <v>118</v>
      </c>
      <c r="B8" s="11">
        <v>45700.0</v>
      </c>
      <c r="C8" s="11">
        <v>45701.0</v>
      </c>
      <c r="D8" s="44" t="str">
        <f t="shared" si="4"/>
        <v>02 (février)</v>
      </c>
      <c r="E8" s="45">
        <f t="shared" si="5"/>
        <v>1</v>
      </c>
      <c r="F8" s="46">
        <v>2.0</v>
      </c>
      <c r="G8" s="47">
        <v>50.0</v>
      </c>
      <c r="H8" s="42">
        <f t="shared" si="6"/>
        <v>50</v>
      </c>
      <c r="I8" s="17" t="s">
        <v>25</v>
      </c>
      <c r="J8" s="48"/>
      <c r="K8" s="43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ht="22.5" customHeight="1">
      <c r="A9" s="10" t="s">
        <v>119</v>
      </c>
      <c r="B9" s="11">
        <v>45702.0</v>
      </c>
      <c r="C9" s="11">
        <v>45703.0</v>
      </c>
      <c r="D9" s="44" t="str">
        <f t="shared" si="4"/>
        <v>02 (février)</v>
      </c>
      <c r="E9" s="45">
        <f t="shared" si="5"/>
        <v>1</v>
      </c>
      <c r="F9" s="46">
        <v>2.0</v>
      </c>
      <c r="G9" s="47">
        <v>46.0</v>
      </c>
      <c r="H9" s="42">
        <f t="shared" si="6"/>
        <v>46</v>
      </c>
      <c r="I9" s="17" t="s">
        <v>25</v>
      </c>
      <c r="J9" s="48"/>
      <c r="K9" s="43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" ht="22.5" customHeight="1">
      <c r="A10" s="10" t="s">
        <v>120</v>
      </c>
      <c r="B10" s="11">
        <v>45703.0</v>
      </c>
      <c r="C10" s="11">
        <v>45705.0</v>
      </c>
      <c r="D10" s="44" t="str">
        <f t="shared" si="4"/>
        <v>02 (février)</v>
      </c>
      <c r="E10" s="45">
        <f t="shared" si="5"/>
        <v>2</v>
      </c>
      <c r="F10" s="46">
        <v>2.0</v>
      </c>
      <c r="G10" s="47">
        <f>134/2</f>
        <v>67</v>
      </c>
      <c r="H10" s="42">
        <f t="shared" si="6"/>
        <v>134</v>
      </c>
      <c r="I10" s="17" t="s">
        <v>25</v>
      </c>
      <c r="J10" s="48"/>
      <c r="K10" s="43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</row>
    <row r="11" ht="22.5" customHeight="1">
      <c r="A11" s="10" t="s">
        <v>121</v>
      </c>
      <c r="B11" s="11">
        <v>45705.0</v>
      </c>
      <c r="C11" s="11">
        <v>45706.0</v>
      </c>
      <c r="D11" s="44" t="str">
        <f t="shared" si="4"/>
        <v>02 (février)</v>
      </c>
      <c r="E11" s="45">
        <f t="shared" si="5"/>
        <v>1</v>
      </c>
      <c r="F11" s="46">
        <v>2.0</v>
      </c>
      <c r="G11" s="47">
        <v>50.0</v>
      </c>
      <c r="H11" s="42">
        <f t="shared" si="6"/>
        <v>50</v>
      </c>
      <c r="I11" s="17" t="s">
        <v>25</v>
      </c>
      <c r="J11" s="48"/>
      <c r="K11" s="43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ht="22.5" customHeight="1">
      <c r="A12" s="10" t="s">
        <v>122</v>
      </c>
      <c r="B12" s="11">
        <v>45706.0</v>
      </c>
      <c r="C12" s="11">
        <v>45708.0</v>
      </c>
      <c r="D12" s="44" t="str">
        <f t="shared" si="4"/>
        <v>02 (février)</v>
      </c>
      <c r="E12" s="45">
        <f t="shared" si="5"/>
        <v>2</v>
      </c>
      <c r="F12" s="46">
        <v>2.0</v>
      </c>
      <c r="G12" s="47">
        <v>67.0</v>
      </c>
      <c r="H12" s="42">
        <f t="shared" si="6"/>
        <v>134</v>
      </c>
      <c r="I12" s="17" t="s">
        <v>25</v>
      </c>
      <c r="J12" s="48"/>
      <c r="K12" s="43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</row>
    <row r="13" ht="22.5" customHeight="1">
      <c r="A13" s="10" t="s">
        <v>123</v>
      </c>
      <c r="B13" s="11">
        <v>45708.0</v>
      </c>
      <c r="C13" s="11">
        <v>45711.0</v>
      </c>
      <c r="D13" s="44" t="str">
        <f t="shared" si="4"/>
        <v>02 (février)</v>
      </c>
      <c r="E13" s="45">
        <f t="shared" si="5"/>
        <v>3</v>
      </c>
      <c r="F13" s="46">
        <v>2.0</v>
      </c>
      <c r="G13" s="47">
        <f>201.45/3</f>
        <v>67.15</v>
      </c>
      <c r="H13" s="42">
        <f t="shared" si="6"/>
        <v>201.45</v>
      </c>
      <c r="I13" s="17" t="s">
        <v>25</v>
      </c>
      <c r="J13" s="48"/>
      <c r="K13" s="43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4" ht="22.5" customHeight="1">
      <c r="A14" s="10" t="s">
        <v>24</v>
      </c>
      <c r="B14" s="11">
        <v>45715.0</v>
      </c>
      <c r="C14" s="11">
        <v>45716.0</v>
      </c>
      <c r="D14" s="44" t="str">
        <f t="shared" si="4"/>
        <v>02 (février)</v>
      </c>
      <c r="E14" s="45">
        <f t="shared" si="5"/>
        <v>1</v>
      </c>
      <c r="F14" s="46">
        <v>2.0</v>
      </c>
      <c r="G14" s="47">
        <f>134/2</f>
        <v>67</v>
      </c>
      <c r="H14" s="42">
        <f t="shared" si="6"/>
        <v>67</v>
      </c>
      <c r="I14" s="17" t="s">
        <v>25</v>
      </c>
      <c r="J14" s="48"/>
      <c r="K14" s="43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</row>
    <row r="15" ht="22.5" customHeight="1">
      <c r="A15" s="10" t="s">
        <v>124</v>
      </c>
      <c r="B15" s="11">
        <v>45716.0</v>
      </c>
      <c r="C15" s="11">
        <v>45717.0</v>
      </c>
      <c r="D15" s="44" t="str">
        <f t="shared" si="4"/>
        <v>02 (février)</v>
      </c>
      <c r="E15" s="45">
        <f t="shared" si="5"/>
        <v>1</v>
      </c>
      <c r="F15" s="46">
        <v>2.0</v>
      </c>
      <c r="G15" s="47">
        <v>70.0</v>
      </c>
      <c r="H15" s="42">
        <f t="shared" si="6"/>
        <v>70</v>
      </c>
      <c r="I15" s="18" t="s">
        <v>33</v>
      </c>
      <c r="J15" s="48"/>
      <c r="K15" s="43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ht="22.5" customHeight="1">
      <c r="A16" s="28"/>
      <c r="B16" s="19"/>
      <c r="C16" s="19"/>
      <c r="E16" s="20"/>
      <c r="F16" s="21"/>
      <c r="G16" s="42"/>
      <c r="H16" s="42"/>
      <c r="I16" s="22"/>
      <c r="K16" s="43"/>
    </row>
    <row r="17" ht="22.5" customHeight="1">
      <c r="A17" s="10" t="s">
        <v>124</v>
      </c>
      <c r="B17" s="11">
        <v>45717.0</v>
      </c>
      <c r="C17" s="11">
        <v>45718.0</v>
      </c>
      <c r="D17" s="44" t="str">
        <f t="shared" ref="D17:D19" si="7">TEXT(B17 ,"mm (mmmm)")</f>
        <v>03 (mars)</v>
      </c>
      <c r="E17" s="45">
        <f t="shared" ref="E17:E19" si="8">C17-B17</f>
        <v>1</v>
      </c>
      <c r="F17" s="46">
        <v>2.0</v>
      </c>
      <c r="G17" s="47">
        <v>70.0</v>
      </c>
      <c r="H17" s="42">
        <f t="shared" ref="H17:H19" si="9">G17*E17</f>
        <v>70</v>
      </c>
      <c r="I17" s="18" t="s">
        <v>33</v>
      </c>
      <c r="J17" s="48"/>
      <c r="K17" s="43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ht="22.5" customHeight="1">
      <c r="A18" s="10" t="s">
        <v>125</v>
      </c>
      <c r="B18" s="11">
        <v>45718.0</v>
      </c>
      <c r="C18" s="11">
        <v>45722.0</v>
      </c>
      <c r="D18" s="44" t="str">
        <f t="shared" si="7"/>
        <v>03 (mars)</v>
      </c>
      <c r="E18" s="45">
        <f t="shared" si="8"/>
        <v>4</v>
      </c>
      <c r="F18" s="46">
        <v>1.0</v>
      </c>
      <c r="G18" s="47">
        <v>70.0</v>
      </c>
      <c r="H18" s="42">
        <f t="shared" si="9"/>
        <v>280</v>
      </c>
      <c r="I18" s="18" t="s">
        <v>65</v>
      </c>
      <c r="K18" s="43"/>
    </row>
    <row r="19" ht="22.5" customHeight="1">
      <c r="A19" s="10" t="s">
        <v>126</v>
      </c>
      <c r="B19" s="11">
        <v>45723.0</v>
      </c>
      <c r="C19" s="11">
        <v>45725.0</v>
      </c>
      <c r="D19" s="44" t="str">
        <f t="shared" si="7"/>
        <v>03 (mars)</v>
      </c>
      <c r="E19" s="45">
        <f t="shared" si="8"/>
        <v>2</v>
      </c>
      <c r="F19" s="46">
        <v>2.0</v>
      </c>
      <c r="G19" s="47">
        <v>72.0</v>
      </c>
      <c r="H19" s="42">
        <f t="shared" si="9"/>
        <v>144</v>
      </c>
      <c r="I19" s="18" t="s">
        <v>25</v>
      </c>
      <c r="K19" s="43"/>
    </row>
    <row r="20" ht="22.5" customHeight="1">
      <c r="A20" s="10" t="s">
        <v>127</v>
      </c>
      <c r="B20" s="11">
        <v>45725.0</v>
      </c>
      <c r="C20" s="11">
        <v>45730.0</v>
      </c>
      <c r="D20" s="44"/>
      <c r="E20" s="45"/>
      <c r="F20" s="46"/>
      <c r="G20" s="47"/>
      <c r="H20" s="42"/>
      <c r="I20" s="49"/>
      <c r="K20" s="43"/>
    </row>
    <row r="21" ht="22.5" customHeight="1">
      <c r="A21" s="10" t="s">
        <v>128</v>
      </c>
      <c r="B21" s="11">
        <v>45731.0</v>
      </c>
      <c r="C21" s="11">
        <v>45733.0</v>
      </c>
      <c r="D21" s="44" t="str">
        <f t="shared" ref="D21:D24" si="10">TEXT(B21 ,"mm (mmmm)")</f>
        <v>03 (mars)</v>
      </c>
      <c r="E21" s="45">
        <f>C21-B21</f>
        <v>2</v>
      </c>
      <c r="F21" s="46">
        <v>2.0</v>
      </c>
      <c r="G21" s="47">
        <v>70.0</v>
      </c>
      <c r="H21" s="50">
        <v>100.0</v>
      </c>
      <c r="I21" s="18" t="s">
        <v>27</v>
      </c>
      <c r="K21" s="43"/>
    </row>
    <row r="22" ht="22.5" customHeight="1">
      <c r="A22" s="10" t="s">
        <v>129</v>
      </c>
      <c r="B22" s="11">
        <v>45736.0</v>
      </c>
      <c r="C22" s="11">
        <v>45737.0</v>
      </c>
      <c r="D22" s="44" t="str">
        <f t="shared" si="10"/>
        <v>03 (mars)</v>
      </c>
      <c r="E22" s="45"/>
      <c r="F22" s="46"/>
      <c r="G22" s="47"/>
      <c r="H22" s="42"/>
      <c r="I22" s="49"/>
      <c r="K22" s="43"/>
    </row>
    <row r="23" ht="22.5" customHeight="1">
      <c r="A23" s="10" t="s">
        <v>130</v>
      </c>
      <c r="B23" s="11">
        <v>45738.0</v>
      </c>
      <c r="C23" s="11">
        <v>45739.0</v>
      </c>
      <c r="D23" s="44" t="str">
        <f t="shared" si="10"/>
        <v>03 (mars)</v>
      </c>
      <c r="E23" s="45">
        <f t="shared" ref="E23:E24" si="11">C23-B23</f>
        <v>1</v>
      </c>
      <c r="F23" s="46">
        <v>2.0</v>
      </c>
      <c r="G23" s="47">
        <v>50.0</v>
      </c>
      <c r="H23" s="42">
        <f t="shared" ref="H23:H24" si="12">G23*E23</f>
        <v>50</v>
      </c>
      <c r="I23" s="18" t="s">
        <v>25</v>
      </c>
      <c r="K23" s="43"/>
    </row>
    <row r="24" ht="22.5" customHeight="1">
      <c r="A24" s="10" t="s">
        <v>131</v>
      </c>
      <c r="B24" s="11">
        <v>45745.0</v>
      </c>
      <c r="C24" s="11">
        <v>45746.0</v>
      </c>
      <c r="D24" s="44" t="str">
        <f t="shared" si="10"/>
        <v>03 (mars)</v>
      </c>
      <c r="E24" s="45">
        <f t="shared" si="11"/>
        <v>1</v>
      </c>
      <c r="F24" s="46">
        <v>2.0</v>
      </c>
      <c r="G24" s="47">
        <v>50.0</v>
      </c>
      <c r="H24" s="42">
        <f t="shared" si="12"/>
        <v>50</v>
      </c>
      <c r="I24" s="18" t="s">
        <v>25</v>
      </c>
      <c r="K24" s="43"/>
    </row>
    <row r="25" ht="22.5" customHeight="1">
      <c r="B25" s="19"/>
      <c r="C25" s="19"/>
      <c r="E25" s="20"/>
      <c r="F25" s="21"/>
      <c r="G25" s="42"/>
      <c r="H25" s="42"/>
      <c r="I25" s="22"/>
      <c r="K25" s="43"/>
    </row>
    <row r="26" ht="22.5" customHeight="1">
      <c r="A26" s="10" t="s">
        <v>132</v>
      </c>
      <c r="B26" s="11">
        <v>45748.0</v>
      </c>
      <c r="C26" s="11">
        <v>45751.0</v>
      </c>
      <c r="D26" s="12" t="str">
        <f t="shared" ref="D26:D35" si="13">TEXT(B26 ,"mm (mmmm)")</f>
        <v>04 (avril)</v>
      </c>
      <c r="E26" s="13">
        <f t="shared" ref="E26:E35" si="14">C26-B26</f>
        <v>3</v>
      </c>
      <c r="F26" s="14">
        <v>2.0</v>
      </c>
      <c r="G26" s="41">
        <v>47.0</v>
      </c>
      <c r="H26" s="42">
        <f t="shared" ref="H26:H35" si="15">G26*E26</f>
        <v>141</v>
      </c>
      <c r="I26" s="18" t="s">
        <v>25</v>
      </c>
      <c r="K26" s="43"/>
    </row>
    <row r="27" ht="22.5" customHeight="1">
      <c r="A27" s="10" t="s">
        <v>133</v>
      </c>
      <c r="B27" s="11">
        <v>45751.0</v>
      </c>
      <c r="C27" s="11">
        <v>45753.0</v>
      </c>
      <c r="D27" s="12" t="str">
        <f t="shared" si="13"/>
        <v>04 (avril)</v>
      </c>
      <c r="E27" s="13">
        <f t="shared" si="14"/>
        <v>2</v>
      </c>
      <c r="F27" s="14">
        <v>2.0</v>
      </c>
      <c r="G27" s="41"/>
      <c r="H27" s="42">
        <f t="shared" si="15"/>
        <v>0</v>
      </c>
      <c r="I27" s="18" t="s">
        <v>134</v>
      </c>
      <c r="K27" s="43"/>
    </row>
    <row r="28" ht="22.5" customHeight="1">
      <c r="A28" s="10" t="s">
        <v>135</v>
      </c>
      <c r="B28" s="11">
        <v>45753.0</v>
      </c>
      <c r="C28" s="11">
        <v>45755.0</v>
      </c>
      <c r="D28" s="12" t="str">
        <f t="shared" si="13"/>
        <v>04 (avril)</v>
      </c>
      <c r="E28" s="13">
        <f t="shared" si="14"/>
        <v>2</v>
      </c>
      <c r="F28" s="14">
        <v>1.0</v>
      </c>
      <c r="G28" s="41">
        <v>70.0</v>
      </c>
      <c r="H28" s="42">
        <f t="shared" si="15"/>
        <v>140</v>
      </c>
      <c r="I28" s="18" t="s">
        <v>65</v>
      </c>
      <c r="K28" s="43"/>
    </row>
    <row r="29" ht="22.5" customHeight="1">
      <c r="A29" s="10" t="s">
        <v>51</v>
      </c>
      <c r="B29" s="11">
        <v>45756.0</v>
      </c>
      <c r="C29" s="11">
        <v>45757.0</v>
      </c>
      <c r="D29" s="12" t="str">
        <f t="shared" si="13"/>
        <v>04 (avril)</v>
      </c>
      <c r="E29" s="13">
        <f t="shared" si="14"/>
        <v>1</v>
      </c>
      <c r="F29" s="14">
        <v>1.0</v>
      </c>
      <c r="G29" s="41">
        <v>46.0</v>
      </c>
      <c r="H29" s="42">
        <f t="shared" si="15"/>
        <v>46</v>
      </c>
      <c r="I29" s="18" t="s">
        <v>25</v>
      </c>
      <c r="K29" s="43"/>
    </row>
    <row r="30" ht="22.5" customHeight="1">
      <c r="A30" s="10" t="s">
        <v>136</v>
      </c>
      <c r="B30" s="11">
        <v>45757.0</v>
      </c>
      <c r="C30" s="11">
        <v>45758.0</v>
      </c>
      <c r="D30" s="12" t="str">
        <f t="shared" si="13"/>
        <v>04 (avril)</v>
      </c>
      <c r="E30" s="13">
        <f t="shared" si="14"/>
        <v>1</v>
      </c>
      <c r="F30" s="14">
        <v>1.0</v>
      </c>
      <c r="G30" s="41">
        <v>60.0</v>
      </c>
      <c r="H30" s="42">
        <f t="shared" si="15"/>
        <v>60</v>
      </c>
      <c r="I30" s="18" t="s">
        <v>65</v>
      </c>
      <c r="K30" s="43"/>
    </row>
    <row r="31" ht="22.5" customHeight="1">
      <c r="A31" s="10" t="s">
        <v>137</v>
      </c>
      <c r="B31" s="11">
        <v>45758.0</v>
      </c>
      <c r="C31" s="11">
        <v>45763.0</v>
      </c>
      <c r="D31" s="12" t="str">
        <f t="shared" si="13"/>
        <v>04 (avril)</v>
      </c>
      <c r="E31" s="13">
        <f t="shared" si="14"/>
        <v>5</v>
      </c>
      <c r="F31" s="14">
        <v>1.0</v>
      </c>
      <c r="G31" s="41">
        <v>75.0</v>
      </c>
      <c r="H31" s="42">
        <f t="shared" si="15"/>
        <v>375</v>
      </c>
      <c r="I31" s="18" t="s">
        <v>65</v>
      </c>
      <c r="K31" s="43"/>
    </row>
    <row r="32" ht="22.5" customHeight="1">
      <c r="A32" s="10" t="s">
        <v>138</v>
      </c>
      <c r="B32" s="11">
        <v>45763.0</v>
      </c>
      <c r="C32" s="11">
        <v>45764.0</v>
      </c>
      <c r="D32" s="12" t="str">
        <f t="shared" si="13"/>
        <v>04 (avril)</v>
      </c>
      <c r="E32" s="13">
        <f t="shared" si="14"/>
        <v>1</v>
      </c>
      <c r="F32" s="14">
        <v>2.0</v>
      </c>
      <c r="G32" s="41">
        <v>75.0</v>
      </c>
      <c r="H32" s="42">
        <f t="shared" si="15"/>
        <v>75</v>
      </c>
      <c r="I32" s="18" t="s">
        <v>27</v>
      </c>
      <c r="K32" s="43"/>
    </row>
    <row r="33" ht="22.5" customHeight="1">
      <c r="A33" s="10" t="s">
        <v>139</v>
      </c>
      <c r="B33" s="11">
        <v>45764.0</v>
      </c>
      <c r="C33" s="11">
        <v>45769.0</v>
      </c>
      <c r="D33" s="12" t="str">
        <f t="shared" si="13"/>
        <v>04 (avril)</v>
      </c>
      <c r="E33" s="13">
        <f t="shared" si="14"/>
        <v>5</v>
      </c>
      <c r="F33" s="14">
        <v>2.0</v>
      </c>
      <c r="G33" s="41">
        <v>72.0</v>
      </c>
      <c r="H33" s="42">
        <f t="shared" si="15"/>
        <v>360</v>
      </c>
      <c r="I33" s="17" t="s">
        <v>25</v>
      </c>
      <c r="K33" s="43"/>
    </row>
    <row r="34" ht="22.5" customHeight="1">
      <c r="A34" s="10" t="s">
        <v>140</v>
      </c>
      <c r="B34" s="11">
        <v>45771.0</v>
      </c>
      <c r="C34" s="11">
        <v>45774.0</v>
      </c>
      <c r="D34" s="12" t="str">
        <f t="shared" si="13"/>
        <v>04 (avril)</v>
      </c>
      <c r="E34" s="13">
        <f t="shared" si="14"/>
        <v>3</v>
      </c>
      <c r="F34" s="14">
        <v>1.0</v>
      </c>
      <c r="G34" s="41">
        <v>80.0</v>
      </c>
      <c r="H34" s="42">
        <f t="shared" si="15"/>
        <v>240</v>
      </c>
      <c r="I34" s="18" t="s">
        <v>27</v>
      </c>
      <c r="J34" s="51" t="s">
        <v>141</v>
      </c>
      <c r="K34" s="43"/>
    </row>
    <row r="35" ht="22.5" customHeight="1">
      <c r="A35" s="34" t="s">
        <v>142</v>
      </c>
      <c r="B35" s="35">
        <v>45774.0</v>
      </c>
      <c r="C35" s="35">
        <v>45778.0</v>
      </c>
      <c r="D35" s="12" t="str">
        <f t="shared" si="13"/>
        <v>04 (avril)</v>
      </c>
      <c r="E35" s="52">
        <f t="shared" si="14"/>
        <v>4</v>
      </c>
      <c r="F35" s="53">
        <v>2.0</v>
      </c>
      <c r="G35" s="54">
        <v>70.0</v>
      </c>
      <c r="H35" s="54">
        <f t="shared" si="15"/>
        <v>280</v>
      </c>
      <c r="I35" s="40" t="s">
        <v>33</v>
      </c>
      <c r="J35" s="34" t="s">
        <v>143</v>
      </c>
      <c r="K35" s="43"/>
      <c r="O35" s="10" t="s">
        <v>99</v>
      </c>
    </row>
    <row r="36" ht="22.5" customHeight="1">
      <c r="A36" s="28"/>
      <c r="B36" s="19"/>
      <c r="C36" s="19"/>
      <c r="E36" s="20"/>
      <c r="F36" s="21"/>
      <c r="G36" s="42"/>
      <c r="H36" s="42"/>
      <c r="I36" s="22"/>
      <c r="J36" s="28"/>
      <c r="K36" s="43"/>
    </row>
    <row r="37" ht="22.5" customHeight="1">
      <c r="A37" s="34" t="s">
        <v>142</v>
      </c>
      <c r="B37" s="35">
        <v>45778.0</v>
      </c>
      <c r="C37" s="35">
        <v>45779.0</v>
      </c>
      <c r="D37" s="12" t="str">
        <f t="shared" ref="D37:D41" si="16">TEXT(B37 ,"mm (mmmm)")</f>
        <v>05 (mai)</v>
      </c>
      <c r="E37" s="52">
        <f t="shared" ref="E37:E41" si="17">C37-B37</f>
        <v>1</v>
      </c>
      <c r="F37" s="53">
        <v>2.0</v>
      </c>
      <c r="G37" s="54">
        <v>70.0</v>
      </c>
      <c r="H37" s="54">
        <f t="shared" ref="H37:H41" si="18">G37*E37</f>
        <v>70</v>
      </c>
      <c r="I37" s="40" t="s">
        <v>33</v>
      </c>
      <c r="J37" s="34" t="s">
        <v>143</v>
      </c>
      <c r="K37" s="43"/>
      <c r="O37" s="10" t="s">
        <v>99</v>
      </c>
    </row>
    <row r="38" ht="22.5" customHeight="1">
      <c r="A38" s="10" t="s">
        <v>144</v>
      </c>
      <c r="B38" s="11">
        <v>45779.0</v>
      </c>
      <c r="C38" s="11">
        <v>45787.0</v>
      </c>
      <c r="D38" s="12" t="str">
        <f t="shared" si="16"/>
        <v>05 (mai)</v>
      </c>
      <c r="E38" s="13">
        <f t="shared" si="17"/>
        <v>8</v>
      </c>
      <c r="F38" s="14">
        <v>2.0</v>
      </c>
      <c r="G38" s="41">
        <v>70.0</v>
      </c>
      <c r="H38" s="42">
        <f t="shared" si="18"/>
        <v>560</v>
      </c>
      <c r="I38" s="18" t="s">
        <v>27</v>
      </c>
      <c r="K38" s="43"/>
    </row>
    <row r="39" ht="22.5" customHeight="1">
      <c r="A39" s="10" t="s">
        <v>145</v>
      </c>
      <c r="B39" s="11">
        <v>45794.0</v>
      </c>
      <c r="C39" s="11">
        <v>45795.0</v>
      </c>
      <c r="D39" s="12" t="str">
        <f t="shared" si="16"/>
        <v>05 (mai)</v>
      </c>
      <c r="E39" s="13">
        <f t="shared" si="17"/>
        <v>1</v>
      </c>
      <c r="F39" s="14">
        <v>1.0</v>
      </c>
      <c r="G39" s="41">
        <v>55.0</v>
      </c>
      <c r="H39" s="42">
        <f t="shared" si="18"/>
        <v>55</v>
      </c>
      <c r="I39" s="18" t="s">
        <v>25</v>
      </c>
      <c r="K39" s="43"/>
    </row>
    <row r="40" ht="22.5" customHeight="1">
      <c r="A40" s="10" t="s">
        <v>146</v>
      </c>
      <c r="B40" s="11">
        <v>45798.0</v>
      </c>
      <c r="C40" s="11">
        <v>45800.0</v>
      </c>
      <c r="D40" s="12" t="str">
        <f t="shared" si="16"/>
        <v>05 (mai)</v>
      </c>
      <c r="E40" s="13">
        <f t="shared" si="17"/>
        <v>2</v>
      </c>
      <c r="F40" s="14">
        <v>2.0</v>
      </c>
      <c r="G40" s="41">
        <v>54.0</v>
      </c>
      <c r="H40" s="42">
        <f t="shared" si="18"/>
        <v>108</v>
      </c>
      <c r="I40" s="18" t="s">
        <v>25</v>
      </c>
      <c r="K40" s="43"/>
    </row>
    <row r="41" ht="22.5" customHeight="1">
      <c r="A41" s="10" t="s">
        <v>147</v>
      </c>
      <c r="B41" s="11">
        <v>45805.0</v>
      </c>
      <c r="C41" s="11">
        <v>45809.0</v>
      </c>
      <c r="D41" s="12" t="str">
        <f t="shared" si="16"/>
        <v>05 (mai)</v>
      </c>
      <c r="E41" s="13">
        <f t="shared" si="17"/>
        <v>4</v>
      </c>
      <c r="F41" s="14">
        <v>2.0</v>
      </c>
      <c r="G41" s="41">
        <v>70.0</v>
      </c>
      <c r="H41" s="42">
        <f t="shared" si="18"/>
        <v>280</v>
      </c>
      <c r="I41" s="18" t="s">
        <v>27</v>
      </c>
      <c r="K41" s="43"/>
    </row>
    <row r="42" ht="22.5" customHeight="1">
      <c r="B42" s="19"/>
      <c r="C42" s="19"/>
      <c r="E42" s="20"/>
      <c r="F42" s="21"/>
      <c r="G42" s="42"/>
      <c r="H42" s="42"/>
      <c r="I42" s="22"/>
      <c r="K42" s="43"/>
    </row>
    <row r="43" ht="22.5" customHeight="1">
      <c r="A43" s="10" t="s">
        <v>148</v>
      </c>
      <c r="B43" s="11">
        <v>45809.0</v>
      </c>
      <c r="C43" s="11">
        <v>45812.0</v>
      </c>
      <c r="D43" s="12" t="str">
        <f t="shared" ref="D43:D50" si="19">TEXT(B43 ,"mm (mmmm)")</f>
        <v>06 (juin)</v>
      </c>
      <c r="E43" s="13">
        <f t="shared" ref="E43:E50" si="20">C43-B43</f>
        <v>3</v>
      </c>
      <c r="F43" s="14">
        <v>2.0</v>
      </c>
      <c r="G43" s="41">
        <v>67.0</v>
      </c>
      <c r="H43" s="42">
        <f t="shared" ref="H43:H50" si="21">G43*E43</f>
        <v>201</v>
      </c>
      <c r="I43" s="18" t="s">
        <v>25</v>
      </c>
      <c r="K43" s="43"/>
    </row>
    <row r="44" ht="22.5" customHeight="1">
      <c r="A44" s="10" t="s">
        <v>149</v>
      </c>
      <c r="B44" s="11">
        <v>45814.0</v>
      </c>
      <c r="C44" s="11">
        <v>45817.0</v>
      </c>
      <c r="D44" s="12" t="str">
        <f t="shared" si="19"/>
        <v>06 (juin)</v>
      </c>
      <c r="E44" s="13">
        <f t="shared" si="20"/>
        <v>3</v>
      </c>
      <c r="F44" s="14">
        <v>2.0</v>
      </c>
      <c r="G44" s="41">
        <v>70.0</v>
      </c>
      <c r="H44" s="42">
        <f t="shared" si="21"/>
        <v>210</v>
      </c>
      <c r="I44" s="18" t="s">
        <v>27</v>
      </c>
      <c r="K44" s="43"/>
    </row>
    <row r="45" ht="22.5" customHeight="1">
      <c r="A45" s="10" t="s">
        <v>121</v>
      </c>
      <c r="B45" s="11">
        <v>45817.0</v>
      </c>
      <c r="C45" s="11">
        <v>45821.0</v>
      </c>
      <c r="D45" s="12" t="str">
        <f t="shared" si="19"/>
        <v>06 (juin)</v>
      </c>
      <c r="E45" s="13">
        <f t="shared" si="20"/>
        <v>4</v>
      </c>
      <c r="F45" s="14">
        <v>2.0</v>
      </c>
      <c r="G45" s="41">
        <v>50.0</v>
      </c>
      <c r="H45" s="42">
        <f t="shared" si="21"/>
        <v>200</v>
      </c>
      <c r="I45" s="18" t="s">
        <v>25</v>
      </c>
      <c r="K45" s="43"/>
    </row>
    <row r="46" ht="22.5" customHeight="1">
      <c r="A46" s="10" t="s">
        <v>150</v>
      </c>
      <c r="B46" s="11">
        <v>45821.0</v>
      </c>
      <c r="C46" s="11">
        <v>45822.0</v>
      </c>
      <c r="D46" s="12" t="str">
        <f t="shared" si="19"/>
        <v>06 (juin)</v>
      </c>
      <c r="E46" s="13">
        <f t="shared" si="20"/>
        <v>1</v>
      </c>
      <c r="F46" s="14">
        <v>2.0</v>
      </c>
      <c r="G46" s="41">
        <v>50.0</v>
      </c>
      <c r="H46" s="42">
        <f t="shared" si="21"/>
        <v>50</v>
      </c>
      <c r="I46" s="18" t="s">
        <v>25</v>
      </c>
      <c r="K46" s="43"/>
    </row>
    <row r="47" ht="22.5" customHeight="1">
      <c r="A47" s="10" t="s">
        <v>150</v>
      </c>
      <c r="B47" s="11">
        <v>45823.0</v>
      </c>
      <c r="C47" s="11">
        <v>45827.0</v>
      </c>
      <c r="D47" s="12" t="str">
        <f t="shared" si="19"/>
        <v>06 (juin)</v>
      </c>
      <c r="E47" s="13">
        <f t="shared" si="20"/>
        <v>4</v>
      </c>
      <c r="F47" s="14">
        <v>2.0</v>
      </c>
      <c r="G47" s="41">
        <v>55.0</v>
      </c>
      <c r="H47" s="42">
        <f t="shared" si="21"/>
        <v>220</v>
      </c>
      <c r="I47" s="18" t="s">
        <v>27</v>
      </c>
      <c r="K47" s="43"/>
    </row>
    <row r="48" ht="22.5" customHeight="1">
      <c r="A48" s="10" t="s">
        <v>150</v>
      </c>
      <c r="B48" s="11">
        <v>45830.0</v>
      </c>
      <c r="C48" s="11">
        <v>45834.0</v>
      </c>
      <c r="D48" s="12" t="str">
        <f t="shared" si="19"/>
        <v>06 (juin)</v>
      </c>
      <c r="E48" s="13">
        <f t="shared" si="20"/>
        <v>4</v>
      </c>
      <c r="F48" s="14">
        <v>2.0</v>
      </c>
      <c r="G48" s="41">
        <v>55.0</v>
      </c>
      <c r="H48" s="42">
        <f t="shared" si="21"/>
        <v>220</v>
      </c>
      <c r="I48" s="18" t="s">
        <v>27</v>
      </c>
      <c r="K48" s="43"/>
    </row>
    <row r="49" ht="22.5" customHeight="1">
      <c r="A49" s="55" t="s">
        <v>151</v>
      </c>
      <c r="B49" s="56">
        <v>45836.0</v>
      </c>
      <c r="C49" s="57">
        <v>45837.0</v>
      </c>
      <c r="D49" s="58" t="str">
        <f t="shared" si="19"/>
        <v>06 (juin)</v>
      </c>
      <c r="E49" s="59">
        <f t="shared" si="20"/>
        <v>1</v>
      </c>
      <c r="F49" s="60">
        <v>2.0</v>
      </c>
      <c r="G49" s="61">
        <v>55.0</v>
      </c>
      <c r="H49" s="62">
        <f t="shared" si="21"/>
        <v>55</v>
      </c>
      <c r="I49" s="63" t="s">
        <v>25</v>
      </c>
      <c r="J49" s="64"/>
      <c r="K49" s="65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22.5" customHeight="1">
      <c r="A50" s="10" t="s">
        <v>152</v>
      </c>
      <c r="B50" s="56">
        <v>45838.0</v>
      </c>
      <c r="C50" s="57">
        <v>45839.0</v>
      </c>
      <c r="D50" s="58" t="str">
        <f t="shared" si="19"/>
        <v>06 (juin)</v>
      </c>
      <c r="E50" s="59">
        <f t="shared" si="20"/>
        <v>1</v>
      </c>
      <c r="F50" s="60">
        <v>2.0</v>
      </c>
      <c r="G50" s="61">
        <v>55.0</v>
      </c>
      <c r="H50" s="62">
        <f t="shared" si="21"/>
        <v>55</v>
      </c>
      <c r="I50" s="63" t="s">
        <v>25</v>
      </c>
      <c r="K50" s="43"/>
    </row>
    <row r="51" ht="22.5" customHeight="1">
      <c r="B51" s="19"/>
      <c r="C51" s="19"/>
      <c r="E51" s="20"/>
      <c r="F51" s="21"/>
      <c r="G51" s="42"/>
      <c r="H51" s="42"/>
      <c r="I51" s="22"/>
      <c r="K51" s="43"/>
    </row>
    <row r="52" ht="22.5" customHeight="1">
      <c r="A52" s="10" t="s">
        <v>153</v>
      </c>
      <c r="B52" s="56">
        <v>45841.0</v>
      </c>
      <c r="C52" s="57">
        <v>45842.0</v>
      </c>
      <c r="D52" s="58" t="str">
        <f t="shared" ref="D52:D59" si="22">TEXT(B52 ,"mm (mmmm)")</f>
        <v>07 (juillet)</v>
      </c>
      <c r="E52" s="59">
        <f t="shared" ref="E52:E59" si="23">C52-B52</f>
        <v>1</v>
      </c>
      <c r="F52" s="60">
        <v>2.0</v>
      </c>
      <c r="G52" s="61">
        <v>55.0</v>
      </c>
      <c r="H52" s="62">
        <f t="shared" ref="H52:H59" si="24">G52*E52</f>
        <v>55</v>
      </c>
      <c r="I52" s="66" t="s">
        <v>25</v>
      </c>
      <c r="K52" s="43"/>
    </row>
    <row r="53" ht="22.5" customHeight="1">
      <c r="A53" s="10" t="s">
        <v>64</v>
      </c>
      <c r="B53" s="11">
        <v>45843.0</v>
      </c>
      <c r="C53" s="11">
        <v>45846.0</v>
      </c>
      <c r="D53" s="12" t="str">
        <f t="shared" si="22"/>
        <v>07 (juillet)</v>
      </c>
      <c r="E53" s="13">
        <f t="shared" si="23"/>
        <v>3</v>
      </c>
      <c r="F53" s="14">
        <v>1.0</v>
      </c>
      <c r="G53" s="41">
        <v>75.0</v>
      </c>
      <c r="H53" s="42">
        <f t="shared" si="24"/>
        <v>225</v>
      </c>
      <c r="I53" s="18" t="s">
        <v>33</v>
      </c>
      <c r="K53" s="43"/>
    </row>
    <row r="54" ht="22.5" customHeight="1">
      <c r="A54" s="10" t="s">
        <v>154</v>
      </c>
      <c r="B54" s="56">
        <v>45846.0</v>
      </c>
      <c r="C54" s="57">
        <v>45848.0</v>
      </c>
      <c r="D54" s="58" t="str">
        <f t="shared" si="22"/>
        <v>07 (juillet)</v>
      </c>
      <c r="E54" s="59">
        <f t="shared" si="23"/>
        <v>2</v>
      </c>
      <c r="F54" s="60">
        <v>2.0</v>
      </c>
      <c r="G54" s="67">
        <v>50.0</v>
      </c>
      <c r="H54" s="62">
        <f t="shared" si="24"/>
        <v>100</v>
      </c>
      <c r="I54" s="66" t="s">
        <v>25</v>
      </c>
      <c r="K54" s="43"/>
    </row>
    <row r="55" ht="22.5" customHeight="1">
      <c r="A55" s="10" t="s">
        <v>155</v>
      </c>
      <c r="B55" s="56">
        <v>45849.0</v>
      </c>
      <c r="C55" s="57">
        <v>45850.0</v>
      </c>
      <c r="D55" s="58" t="str">
        <f t="shared" si="22"/>
        <v>07 (juillet)</v>
      </c>
      <c r="E55" s="59">
        <f t="shared" si="23"/>
        <v>1</v>
      </c>
      <c r="F55" s="60">
        <v>2.0</v>
      </c>
      <c r="G55" s="67">
        <v>58.0</v>
      </c>
      <c r="H55" s="62">
        <f t="shared" si="24"/>
        <v>58</v>
      </c>
      <c r="I55" s="66" t="s">
        <v>25</v>
      </c>
      <c r="K55" s="43"/>
    </row>
    <row r="56" ht="22.5" customHeight="1">
      <c r="A56" s="10" t="s">
        <v>156</v>
      </c>
      <c r="B56" s="11">
        <v>45850.0</v>
      </c>
      <c r="C56" s="11">
        <v>45857.0</v>
      </c>
      <c r="D56" s="12" t="str">
        <f t="shared" si="22"/>
        <v>07 (juillet)</v>
      </c>
      <c r="E56" s="13">
        <f t="shared" si="23"/>
        <v>7</v>
      </c>
      <c r="F56" s="14">
        <v>2.0</v>
      </c>
      <c r="G56" s="41">
        <v>75.0</v>
      </c>
      <c r="H56" s="42">
        <f t="shared" si="24"/>
        <v>525</v>
      </c>
      <c r="I56" s="18" t="s">
        <v>25</v>
      </c>
      <c r="K56" s="43"/>
    </row>
    <row r="57" ht="22.5" customHeight="1">
      <c r="A57" s="10" t="s">
        <v>41</v>
      </c>
      <c r="B57" s="11">
        <v>45857.0</v>
      </c>
      <c r="C57" s="11">
        <v>45858.0</v>
      </c>
      <c r="D57" s="12" t="str">
        <f t="shared" si="22"/>
        <v>07 (juillet)</v>
      </c>
      <c r="E57" s="13">
        <f t="shared" si="23"/>
        <v>1</v>
      </c>
      <c r="F57" s="14">
        <v>2.0</v>
      </c>
      <c r="G57" s="41">
        <v>75.0</v>
      </c>
      <c r="H57" s="42">
        <f t="shared" si="24"/>
        <v>75</v>
      </c>
      <c r="I57" s="18" t="s">
        <v>25</v>
      </c>
      <c r="K57" s="43"/>
    </row>
    <row r="58" ht="22.5" customHeight="1">
      <c r="A58" s="10" t="s">
        <v>157</v>
      </c>
      <c r="B58" s="11">
        <v>45858.0</v>
      </c>
      <c r="C58" s="11">
        <v>45866.0</v>
      </c>
      <c r="D58" s="12" t="str">
        <f t="shared" si="22"/>
        <v>07 (juillet)</v>
      </c>
      <c r="E58" s="13">
        <f t="shared" si="23"/>
        <v>8</v>
      </c>
      <c r="F58" s="14">
        <v>2.0</v>
      </c>
      <c r="G58" s="41">
        <v>75.0</v>
      </c>
      <c r="H58" s="42">
        <f t="shared" si="24"/>
        <v>600</v>
      </c>
      <c r="I58" s="18" t="s">
        <v>27</v>
      </c>
      <c r="K58" s="43"/>
    </row>
    <row r="59" ht="22.5" customHeight="1">
      <c r="A59" s="10" t="s">
        <v>158</v>
      </c>
      <c r="B59" s="11">
        <v>45866.0</v>
      </c>
      <c r="C59" s="11">
        <v>45870.0</v>
      </c>
      <c r="D59" s="12" t="str">
        <f t="shared" si="22"/>
        <v>07 (juillet)</v>
      </c>
      <c r="E59" s="13">
        <f t="shared" si="23"/>
        <v>4</v>
      </c>
      <c r="F59" s="14">
        <v>1.0</v>
      </c>
      <c r="G59" s="41">
        <v>75.0</v>
      </c>
      <c r="H59" s="42">
        <f t="shared" si="24"/>
        <v>300</v>
      </c>
      <c r="I59" s="18" t="s">
        <v>65</v>
      </c>
      <c r="K59" s="43"/>
    </row>
    <row r="60" ht="22.5" customHeight="1">
      <c r="B60" s="19"/>
      <c r="C60" s="19"/>
      <c r="E60" s="20"/>
      <c r="F60" s="21"/>
      <c r="G60" s="42"/>
      <c r="H60" s="42"/>
      <c r="I60" s="22"/>
      <c r="K60" s="43"/>
    </row>
    <row r="61" ht="22.5" customHeight="1">
      <c r="A61" s="10" t="s">
        <v>158</v>
      </c>
      <c r="B61" s="11">
        <v>45870.0</v>
      </c>
      <c r="C61" s="11">
        <v>45872.0</v>
      </c>
      <c r="D61" s="12" t="str">
        <f t="shared" ref="D61:D65" si="25">TEXT(B61 ,"mm (mmmm)")</f>
        <v>08 (août)</v>
      </c>
      <c r="E61" s="13">
        <f t="shared" ref="E61:E67" si="26">C61-B61</f>
        <v>2</v>
      </c>
      <c r="F61" s="14">
        <v>1.0</v>
      </c>
      <c r="G61" s="41">
        <v>75.0</v>
      </c>
      <c r="H61" s="42">
        <f t="shared" ref="H61:H65" si="27">G61*E61</f>
        <v>150</v>
      </c>
      <c r="I61" s="18" t="s">
        <v>65</v>
      </c>
      <c r="K61" s="43"/>
    </row>
    <row r="62" ht="22.5" customHeight="1">
      <c r="A62" s="10" t="s">
        <v>159</v>
      </c>
      <c r="B62" s="11">
        <v>45872.0</v>
      </c>
      <c r="C62" s="11">
        <v>45879.0</v>
      </c>
      <c r="D62" s="12" t="str">
        <f t="shared" si="25"/>
        <v>08 (août)</v>
      </c>
      <c r="E62" s="13">
        <f t="shared" si="26"/>
        <v>7</v>
      </c>
      <c r="F62" s="14">
        <v>2.0</v>
      </c>
      <c r="G62" s="41">
        <v>75.0</v>
      </c>
      <c r="H62" s="42">
        <f t="shared" si="27"/>
        <v>525</v>
      </c>
      <c r="I62" s="18" t="s">
        <v>27</v>
      </c>
      <c r="K62" s="43"/>
    </row>
    <row r="63" ht="22.5" customHeight="1">
      <c r="A63" s="10" t="s">
        <v>160</v>
      </c>
      <c r="B63" s="11">
        <v>45879.0</v>
      </c>
      <c r="C63" s="11">
        <v>45880.0</v>
      </c>
      <c r="D63" s="12" t="str">
        <f t="shared" si="25"/>
        <v>08 (août)</v>
      </c>
      <c r="E63" s="13">
        <f t="shared" si="26"/>
        <v>1</v>
      </c>
      <c r="F63" s="14">
        <v>2.0</v>
      </c>
      <c r="G63" s="41">
        <v>75.0</v>
      </c>
      <c r="H63" s="42">
        <f t="shared" si="27"/>
        <v>75</v>
      </c>
      <c r="I63" s="18" t="s">
        <v>25</v>
      </c>
      <c r="K63" s="43"/>
    </row>
    <row r="64" ht="22.5" customHeight="1">
      <c r="A64" s="10" t="s">
        <v>161</v>
      </c>
      <c r="B64" s="11">
        <v>45880.0</v>
      </c>
      <c r="C64" s="11">
        <v>45887.0</v>
      </c>
      <c r="D64" s="12" t="str">
        <f t="shared" si="25"/>
        <v>08 (août)</v>
      </c>
      <c r="E64" s="13">
        <f t="shared" si="26"/>
        <v>7</v>
      </c>
      <c r="F64" s="14">
        <v>1.0</v>
      </c>
      <c r="G64" s="41">
        <v>75.0</v>
      </c>
      <c r="H64" s="42">
        <f t="shared" si="27"/>
        <v>525</v>
      </c>
      <c r="I64" s="18" t="s">
        <v>33</v>
      </c>
      <c r="K64" s="43"/>
    </row>
    <row r="65" ht="22.5" customHeight="1">
      <c r="A65" s="10" t="s">
        <v>162</v>
      </c>
      <c r="B65" s="11">
        <v>45887.0</v>
      </c>
      <c r="C65" s="11">
        <v>45893.0</v>
      </c>
      <c r="D65" s="12" t="str">
        <f t="shared" si="25"/>
        <v>08 (août)</v>
      </c>
      <c r="E65" s="13">
        <f t="shared" si="26"/>
        <v>6</v>
      </c>
      <c r="F65" s="14">
        <v>1.0</v>
      </c>
      <c r="G65" s="41">
        <v>75.0</v>
      </c>
      <c r="H65" s="42">
        <f t="shared" si="27"/>
        <v>450</v>
      </c>
      <c r="I65" s="18" t="s">
        <v>33</v>
      </c>
      <c r="J65" s="10" t="s">
        <v>163</v>
      </c>
      <c r="K65" s="43"/>
    </row>
    <row r="66" ht="22.5" customHeight="1">
      <c r="A66" s="10" t="s">
        <v>164</v>
      </c>
      <c r="B66" s="11">
        <v>45893.0</v>
      </c>
      <c r="C66" s="11">
        <v>45897.0</v>
      </c>
      <c r="D66" s="68">
        <f>B66</f>
        <v>45893</v>
      </c>
      <c r="E66" s="20">
        <f t="shared" si="26"/>
        <v>4</v>
      </c>
      <c r="F66" s="29">
        <v>2.0</v>
      </c>
      <c r="G66" s="42">
        <f>H66/E66</f>
        <v>92.5</v>
      </c>
      <c r="H66" s="50">
        <v>370.0</v>
      </c>
      <c r="I66" s="18" t="s">
        <v>27</v>
      </c>
      <c r="J66" s="10" t="s">
        <v>165</v>
      </c>
      <c r="K66" s="43"/>
      <c r="L66" s="10" t="s">
        <v>79</v>
      </c>
    </row>
    <row r="67" ht="22.5" customHeight="1">
      <c r="A67" s="10" t="s">
        <v>166</v>
      </c>
      <c r="B67" s="11">
        <v>45897.0</v>
      </c>
      <c r="C67" s="11">
        <v>45901.0</v>
      </c>
      <c r="D67" s="12" t="str">
        <f>TEXT(B67 ,"mm (mmmm)")</f>
        <v>08 (août)</v>
      </c>
      <c r="E67" s="13">
        <f t="shared" si="26"/>
        <v>4</v>
      </c>
      <c r="F67" s="14">
        <v>2.0</v>
      </c>
      <c r="G67" s="41">
        <v>75.0</v>
      </c>
      <c r="H67" s="42">
        <f>G67*E67</f>
        <v>300</v>
      </c>
      <c r="I67" s="18" t="s">
        <v>33</v>
      </c>
      <c r="J67" s="10" t="s">
        <v>167</v>
      </c>
      <c r="K67" s="43"/>
    </row>
    <row r="68" ht="22.5" customHeight="1">
      <c r="B68" s="19"/>
      <c r="C68" s="19"/>
      <c r="D68" s="23"/>
      <c r="E68" s="20"/>
      <c r="F68" s="21"/>
      <c r="G68" s="42"/>
      <c r="H68" s="42"/>
      <c r="I68" s="22"/>
      <c r="K68" s="43"/>
    </row>
    <row r="69" ht="22.5" customHeight="1">
      <c r="A69" s="10" t="s">
        <v>168</v>
      </c>
      <c r="B69" s="11">
        <v>45901.0</v>
      </c>
      <c r="C69" s="11">
        <v>45905.0</v>
      </c>
      <c r="D69" s="23">
        <f t="shared" ref="D69:D74" si="28">B69</f>
        <v>45901</v>
      </c>
      <c r="E69" s="20">
        <f t="shared" ref="E69:E74" si="29">C69-B69</f>
        <v>4</v>
      </c>
      <c r="F69" s="29">
        <v>2.0</v>
      </c>
      <c r="G69" s="50">
        <v>35.0625</v>
      </c>
      <c r="H69" s="50">
        <v>140.25</v>
      </c>
      <c r="I69" s="18" t="s">
        <v>25</v>
      </c>
      <c r="K69" s="43"/>
      <c r="O69" s="10" t="s">
        <v>40</v>
      </c>
    </row>
    <row r="70" ht="22.5" customHeight="1">
      <c r="A70" s="10" t="s">
        <v>169</v>
      </c>
      <c r="B70" s="11">
        <v>45905.0</v>
      </c>
      <c r="C70" s="11">
        <v>45907.0</v>
      </c>
      <c r="D70" s="23">
        <f t="shared" si="28"/>
        <v>45905</v>
      </c>
      <c r="E70" s="20">
        <f t="shared" si="29"/>
        <v>2</v>
      </c>
      <c r="F70" s="29">
        <v>2.0</v>
      </c>
      <c r="G70" s="50">
        <v>59.5</v>
      </c>
      <c r="H70" s="50">
        <v>119.0</v>
      </c>
      <c r="I70" s="18" t="s">
        <v>25</v>
      </c>
      <c r="K70" s="43"/>
      <c r="L70" s="10" t="s">
        <v>79</v>
      </c>
    </row>
    <row r="71" ht="22.5" customHeight="1">
      <c r="A71" s="10" t="s">
        <v>170</v>
      </c>
      <c r="B71" s="11">
        <v>45907.0</v>
      </c>
      <c r="C71" s="11">
        <v>45911.0</v>
      </c>
      <c r="D71" s="23">
        <f t="shared" si="28"/>
        <v>45907</v>
      </c>
      <c r="E71" s="20">
        <f t="shared" si="29"/>
        <v>4</v>
      </c>
      <c r="F71" s="29">
        <v>2.0</v>
      </c>
      <c r="G71" s="50">
        <v>46.75</v>
      </c>
      <c r="H71" s="50">
        <v>187.0</v>
      </c>
      <c r="I71" s="18" t="s">
        <v>25</v>
      </c>
      <c r="K71" s="43"/>
      <c r="L71" s="10" t="s">
        <v>79</v>
      </c>
    </row>
    <row r="72" ht="22.5" customHeight="1">
      <c r="A72" s="10" t="s">
        <v>171</v>
      </c>
      <c r="B72" s="11">
        <v>45912.0</v>
      </c>
      <c r="C72" s="11">
        <v>45919.0</v>
      </c>
      <c r="D72" s="23">
        <f t="shared" si="28"/>
        <v>45912</v>
      </c>
      <c r="E72" s="20">
        <f t="shared" si="29"/>
        <v>7</v>
      </c>
      <c r="F72" s="29">
        <v>2.0</v>
      </c>
      <c r="G72" s="50">
        <v>46.75</v>
      </c>
      <c r="H72" s="50">
        <v>327.25</v>
      </c>
      <c r="I72" s="18" t="s">
        <v>25</v>
      </c>
      <c r="K72" s="43"/>
      <c r="O72" s="10" t="s">
        <v>40</v>
      </c>
    </row>
    <row r="73" ht="22.5" customHeight="1">
      <c r="A73" s="10" t="s">
        <v>172</v>
      </c>
      <c r="B73" s="11">
        <v>45919.0</v>
      </c>
      <c r="C73" s="11">
        <v>45922.0</v>
      </c>
      <c r="D73" s="23">
        <f t="shared" si="28"/>
        <v>45919</v>
      </c>
      <c r="E73" s="20">
        <f t="shared" si="29"/>
        <v>3</v>
      </c>
      <c r="F73" s="29">
        <v>2.0</v>
      </c>
      <c r="G73" s="50">
        <v>70.0</v>
      </c>
      <c r="H73" s="42">
        <f>G73*E73</f>
        <v>210</v>
      </c>
      <c r="I73" s="18" t="s">
        <v>65</v>
      </c>
      <c r="J73" s="10" t="s">
        <v>173</v>
      </c>
      <c r="K73" s="69" t="s">
        <v>174</v>
      </c>
      <c r="O73" s="10"/>
    </row>
    <row r="74" ht="22.5" customHeight="1">
      <c r="A74" s="10" t="s">
        <v>175</v>
      </c>
      <c r="B74" s="11">
        <v>45925.0</v>
      </c>
      <c r="C74" s="11">
        <v>45928.0</v>
      </c>
      <c r="D74" s="23">
        <f t="shared" si="28"/>
        <v>45925</v>
      </c>
      <c r="E74" s="20">
        <f t="shared" si="29"/>
        <v>3</v>
      </c>
      <c r="F74" s="29">
        <v>2.0</v>
      </c>
      <c r="G74" s="50">
        <v>55.25</v>
      </c>
      <c r="H74" s="50">
        <v>165.75</v>
      </c>
      <c r="I74" s="18" t="s">
        <v>25</v>
      </c>
      <c r="K74" s="43"/>
      <c r="O74" s="10" t="s">
        <v>40</v>
      </c>
    </row>
    <row r="75" ht="22.5" customHeight="1">
      <c r="B75" s="19"/>
      <c r="C75" s="19"/>
      <c r="E75" s="20"/>
      <c r="F75" s="21"/>
      <c r="G75" s="42"/>
      <c r="H75" s="42"/>
      <c r="I75" s="22"/>
      <c r="K75" s="43"/>
    </row>
    <row r="76" ht="22.5" customHeight="1">
      <c r="A76" s="10" t="s">
        <v>176</v>
      </c>
      <c r="B76" s="11">
        <v>45933.0</v>
      </c>
      <c r="C76" s="11">
        <v>45935.0</v>
      </c>
      <c r="D76" s="12" t="str">
        <f t="shared" ref="D76:D82" si="30">TEXT(B76 ,"mm (mmmm)")</f>
        <v>10 (octobre)</v>
      </c>
      <c r="E76" s="13">
        <f t="shared" ref="E76:E82" si="31">C76-B76</f>
        <v>2</v>
      </c>
      <c r="F76" s="14">
        <v>2.0</v>
      </c>
      <c r="G76" s="41">
        <v>50.0</v>
      </c>
      <c r="H76" s="42">
        <f t="shared" ref="H76:H77" si="32">G76*E76</f>
        <v>100</v>
      </c>
      <c r="I76" s="18" t="s">
        <v>25</v>
      </c>
      <c r="J76" s="10"/>
      <c r="K76" s="69"/>
    </row>
    <row r="77" ht="22.5" customHeight="1">
      <c r="A77" s="10" t="s">
        <v>177</v>
      </c>
      <c r="B77" s="11">
        <v>45940.0</v>
      </c>
      <c r="C77" s="11">
        <v>45942.0</v>
      </c>
      <c r="D77" s="12" t="str">
        <f t="shared" si="30"/>
        <v>10 (octobre)</v>
      </c>
      <c r="E77" s="13">
        <f t="shared" si="31"/>
        <v>2</v>
      </c>
      <c r="F77" s="14">
        <v>4.0</v>
      </c>
      <c r="G77" s="41">
        <v>70.0</v>
      </c>
      <c r="H77" s="42">
        <f t="shared" si="32"/>
        <v>140</v>
      </c>
      <c r="I77" s="18" t="s">
        <v>33</v>
      </c>
      <c r="J77" s="10" t="s">
        <v>178</v>
      </c>
      <c r="K77" s="69" t="s">
        <v>179</v>
      </c>
    </row>
    <row r="78" ht="22.5" customHeight="1">
      <c r="A78" s="10" t="s">
        <v>180</v>
      </c>
      <c r="B78" s="11">
        <v>45945.0</v>
      </c>
      <c r="C78" s="11">
        <v>45946.0</v>
      </c>
      <c r="D78" s="12" t="str">
        <f t="shared" si="30"/>
        <v>10 (octobre)</v>
      </c>
      <c r="E78" s="20">
        <f t="shared" si="31"/>
        <v>1</v>
      </c>
      <c r="F78" s="29">
        <v>2.0</v>
      </c>
      <c r="G78" s="50">
        <v>58.65</v>
      </c>
      <c r="H78" s="50">
        <v>58.65</v>
      </c>
      <c r="I78" s="18" t="s">
        <v>25</v>
      </c>
      <c r="K78" s="43"/>
      <c r="O78" s="10" t="s">
        <v>93</v>
      </c>
    </row>
    <row r="79" ht="22.5" customHeight="1">
      <c r="A79" s="10" t="s">
        <v>181</v>
      </c>
      <c r="B79" s="11">
        <v>45948.0</v>
      </c>
      <c r="C79" s="11">
        <v>45950.0</v>
      </c>
      <c r="D79" s="12" t="str">
        <f t="shared" si="30"/>
        <v>10 (octobre)</v>
      </c>
      <c r="E79" s="20">
        <f t="shared" si="31"/>
        <v>2</v>
      </c>
      <c r="F79" s="29">
        <v>2.0</v>
      </c>
      <c r="G79" s="50">
        <v>75.0</v>
      </c>
      <c r="H79" s="42">
        <f t="shared" ref="H79:H80" si="33">G79*E79</f>
        <v>150</v>
      </c>
      <c r="I79" s="18" t="s">
        <v>33</v>
      </c>
      <c r="J79" s="10" t="s">
        <v>182</v>
      </c>
      <c r="K79" s="69" t="s">
        <v>183</v>
      </c>
      <c r="O79" s="10" t="s">
        <v>93</v>
      </c>
    </row>
    <row r="80" ht="22.5" customHeight="1">
      <c r="A80" s="10" t="s">
        <v>184</v>
      </c>
      <c r="B80" s="11">
        <v>45950.0</v>
      </c>
      <c r="C80" s="11">
        <v>45956.0</v>
      </c>
      <c r="D80" s="12" t="str">
        <f t="shared" si="30"/>
        <v>10 (octobre)</v>
      </c>
      <c r="E80" s="20">
        <f t="shared" si="31"/>
        <v>6</v>
      </c>
      <c r="F80" s="29">
        <v>2.0</v>
      </c>
      <c r="G80" s="50">
        <v>75.0</v>
      </c>
      <c r="H80" s="42">
        <f t="shared" si="33"/>
        <v>450</v>
      </c>
      <c r="I80" s="18" t="s">
        <v>33</v>
      </c>
      <c r="J80" s="10" t="s">
        <v>185</v>
      </c>
      <c r="K80" s="43"/>
      <c r="O80" s="10" t="s">
        <v>99</v>
      </c>
    </row>
    <row r="81" ht="22.5" customHeight="1">
      <c r="A81" s="10" t="s">
        <v>186</v>
      </c>
      <c r="B81" s="11">
        <v>45956.0</v>
      </c>
      <c r="C81" s="11">
        <v>45957.0</v>
      </c>
      <c r="D81" s="12" t="str">
        <f t="shared" si="30"/>
        <v>10 (octobre)</v>
      </c>
      <c r="E81" s="20">
        <f t="shared" si="31"/>
        <v>1</v>
      </c>
      <c r="F81" s="29">
        <v>2.0</v>
      </c>
      <c r="G81" s="50">
        <v>72.25</v>
      </c>
      <c r="H81" s="50">
        <v>72.25</v>
      </c>
      <c r="I81" s="18" t="s">
        <v>25</v>
      </c>
      <c r="K81" s="43"/>
      <c r="O81" s="10" t="s">
        <v>93</v>
      </c>
    </row>
    <row r="82" ht="22.5" customHeight="1">
      <c r="A82" s="10" t="s">
        <v>187</v>
      </c>
      <c r="B82" s="11">
        <v>45957.0</v>
      </c>
      <c r="C82" s="11">
        <v>45961.0</v>
      </c>
      <c r="D82" s="12" t="str">
        <f t="shared" si="30"/>
        <v>10 (octobre)</v>
      </c>
      <c r="E82" s="20">
        <f t="shared" si="31"/>
        <v>4</v>
      </c>
      <c r="F82" s="29">
        <v>2.0</v>
      </c>
      <c r="G82" s="50">
        <v>72.25</v>
      </c>
      <c r="H82" s="50">
        <v>289.0</v>
      </c>
      <c r="I82" s="18" t="s">
        <v>25</v>
      </c>
      <c r="K82" s="43"/>
      <c r="L82" s="10" t="s">
        <v>79</v>
      </c>
    </row>
    <row r="83" ht="22.5" customHeight="1">
      <c r="A83" s="28"/>
      <c r="B83" s="19"/>
      <c r="C83" s="19"/>
      <c r="E83" s="20"/>
      <c r="F83" s="21"/>
      <c r="G83" s="42"/>
      <c r="H83" s="42"/>
      <c r="I83" s="22"/>
      <c r="K83" s="43"/>
    </row>
    <row r="84" ht="22.5" customHeight="1">
      <c r="A84" s="70" t="s">
        <v>188</v>
      </c>
      <c r="B84" s="71">
        <v>45965.0</v>
      </c>
      <c r="C84" s="71">
        <v>45969.0</v>
      </c>
      <c r="D84" s="72">
        <f t="shared" ref="D84:D88" si="34">B84</f>
        <v>45965</v>
      </c>
      <c r="E84" s="73">
        <f t="shared" ref="E84:E88" si="35">C84-B84</f>
        <v>4</v>
      </c>
      <c r="F84" s="74">
        <v>2.0</v>
      </c>
      <c r="G84" s="75">
        <v>65.875</v>
      </c>
      <c r="H84" s="75">
        <v>263.5</v>
      </c>
      <c r="I84" s="76" t="s">
        <v>25</v>
      </c>
      <c r="J84" s="77"/>
      <c r="K84" s="78"/>
      <c r="L84" s="77"/>
      <c r="M84" s="77"/>
      <c r="N84" s="77"/>
      <c r="O84" s="79" t="s">
        <v>99</v>
      </c>
      <c r="P84" s="77"/>
      <c r="Q84" s="77"/>
      <c r="R84" s="77"/>
      <c r="S84" s="77"/>
      <c r="T84" s="77"/>
      <c r="U84" s="77"/>
      <c r="V84" s="77"/>
      <c r="W84" s="77"/>
      <c r="X84" s="77"/>
      <c r="Y84" s="80"/>
    </row>
    <row r="85" ht="22.5" customHeight="1">
      <c r="A85" s="10" t="s">
        <v>189</v>
      </c>
      <c r="B85" s="11">
        <v>45969.0</v>
      </c>
      <c r="C85" s="11">
        <v>45972.0</v>
      </c>
      <c r="D85" s="19">
        <f t="shared" si="34"/>
        <v>45969</v>
      </c>
      <c r="E85" s="20">
        <f t="shared" si="35"/>
        <v>3</v>
      </c>
      <c r="F85" s="29">
        <v>2.0</v>
      </c>
      <c r="G85" s="50">
        <v>70.0</v>
      </c>
      <c r="H85" s="42">
        <f>G85*E85</f>
        <v>210</v>
      </c>
      <c r="I85" s="18" t="s">
        <v>33</v>
      </c>
      <c r="J85" s="10" t="s">
        <v>190</v>
      </c>
      <c r="K85" s="43"/>
      <c r="O85" s="10" t="s">
        <v>93</v>
      </c>
    </row>
    <row r="86" ht="22.5" customHeight="1">
      <c r="A86" s="10" t="s">
        <v>191</v>
      </c>
      <c r="B86" s="11">
        <v>45975.0</v>
      </c>
      <c r="C86" s="11">
        <v>45977.0</v>
      </c>
      <c r="D86" s="19">
        <f t="shared" si="34"/>
        <v>45975</v>
      </c>
      <c r="E86" s="20">
        <f t="shared" si="35"/>
        <v>2</v>
      </c>
      <c r="F86" s="29">
        <v>2.0</v>
      </c>
      <c r="G86" s="50">
        <v>58.65</v>
      </c>
      <c r="H86" s="50">
        <v>117.3</v>
      </c>
      <c r="I86" s="18" t="s">
        <v>25</v>
      </c>
      <c r="K86" s="43"/>
      <c r="O86" s="10" t="s">
        <v>105</v>
      </c>
    </row>
    <row r="87" ht="22.5" customHeight="1">
      <c r="A87" s="10" t="s">
        <v>192</v>
      </c>
      <c r="B87" s="11">
        <v>45982.0</v>
      </c>
      <c r="C87" s="11">
        <v>45984.0</v>
      </c>
      <c r="D87" s="19">
        <f t="shared" si="34"/>
        <v>45982</v>
      </c>
      <c r="E87" s="20">
        <f t="shared" si="35"/>
        <v>2</v>
      </c>
      <c r="F87" s="29">
        <v>2.0</v>
      </c>
      <c r="G87" s="50">
        <v>59.5</v>
      </c>
      <c r="H87" s="50">
        <v>119.0</v>
      </c>
      <c r="I87" s="18" t="s">
        <v>25</v>
      </c>
      <c r="K87" s="43"/>
      <c r="O87" s="10" t="s">
        <v>105</v>
      </c>
    </row>
    <row r="88" ht="22.5" customHeight="1">
      <c r="A88" s="10" t="s">
        <v>193</v>
      </c>
      <c r="B88" s="71">
        <v>45989.0</v>
      </c>
      <c r="C88" s="71">
        <v>45991.0</v>
      </c>
      <c r="D88" s="19">
        <f t="shared" si="34"/>
        <v>45989</v>
      </c>
      <c r="E88" s="73">
        <f t="shared" si="35"/>
        <v>2</v>
      </c>
      <c r="F88" s="74">
        <v>2.0</v>
      </c>
      <c r="G88" s="75">
        <v>58.65</v>
      </c>
      <c r="H88" s="75">
        <v>117.3</v>
      </c>
      <c r="I88" s="76" t="s">
        <v>25</v>
      </c>
      <c r="K88" s="43"/>
      <c r="O88" s="10" t="s">
        <v>105</v>
      </c>
    </row>
    <row r="89" ht="22.5" customHeight="1">
      <c r="A89" s="28"/>
      <c r="B89" s="19"/>
      <c r="C89" s="19"/>
      <c r="E89" s="20"/>
      <c r="F89" s="21"/>
      <c r="G89" s="42"/>
      <c r="H89" s="42"/>
      <c r="I89" s="22"/>
      <c r="J89" s="28"/>
      <c r="K89" s="43"/>
    </row>
    <row r="90" ht="22.5" customHeight="1">
      <c r="A90" s="10" t="s">
        <v>194</v>
      </c>
      <c r="B90" s="71">
        <v>45996.0</v>
      </c>
      <c r="C90" s="71">
        <v>45999.0</v>
      </c>
      <c r="D90" s="19">
        <f t="shared" ref="D90:D93" si="36">B90</f>
        <v>45996</v>
      </c>
      <c r="E90" s="73">
        <f t="shared" ref="E90:E93" si="37">C90-B90</f>
        <v>3</v>
      </c>
      <c r="F90" s="74">
        <v>2.0</v>
      </c>
      <c r="G90" s="75">
        <v>70.0</v>
      </c>
      <c r="H90" s="81">
        <f>G90*E90</f>
        <v>210</v>
      </c>
      <c r="I90" s="76" t="s">
        <v>195</v>
      </c>
      <c r="J90" s="10" t="s">
        <v>196</v>
      </c>
      <c r="K90" s="82" t="s">
        <v>197</v>
      </c>
      <c r="O90" s="10" t="s">
        <v>105</v>
      </c>
    </row>
    <row r="91" ht="22.5" customHeight="1">
      <c r="A91" s="10" t="s">
        <v>198</v>
      </c>
      <c r="B91" s="71">
        <v>46004.0</v>
      </c>
      <c r="C91" s="71">
        <v>46006.0</v>
      </c>
      <c r="D91" s="19">
        <f t="shared" si="36"/>
        <v>46004</v>
      </c>
      <c r="E91" s="73">
        <f t="shared" si="37"/>
        <v>2</v>
      </c>
      <c r="F91" s="74">
        <v>2.0</v>
      </c>
      <c r="G91" s="75">
        <v>58.65</v>
      </c>
      <c r="H91" s="75">
        <v>117.3</v>
      </c>
      <c r="I91" s="76" t="s">
        <v>25</v>
      </c>
      <c r="K91" s="43"/>
      <c r="O91" s="10" t="s">
        <v>107</v>
      </c>
    </row>
    <row r="92" ht="22.5" customHeight="1">
      <c r="A92" s="10" t="s">
        <v>132</v>
      </c>
      <c r="B92" s="11">
        <v>46011.0</v>
      </c>
      <c r="C92" s="11">
        <v>46019.0</v>
      </c>
      <c r="D92" s="19">
        <f t="shared" si="36"/>
        <v>46011</v>
      </c>
      <c r="E92" s="20">
        <f t="shared" si="37"/>
        <v>8</v>
      </c>
      <c r="F92" s="29">
        <v>2.0</v>
      </c>
      <c r="G92" s="50">
        <v>70.0</v>
      </c>
      <c r="H92" s="42">
        <f t="shared" ref="H92:H93" si="38">G92*E92</f>
        <v>560</v>
      </c>
      <c r="I92" s="18" t="s">
        <v>65</v>
      </c>
      <c r="J92" s="10" t="s">
        <v>199</v>
      </c>
      <c r="K92" s="43"/>
      <c r="O92" s="10" t="s">
        <v>107</v>
      </c>
    </row>
    <row r="93" ht="22.5" customHeight="1">
      <c r="A93" s="10" t="s">
        <v>200</v>
      </c>
      <c r="B93" s="11">
        <v>46020.0</v>
      </c>
      <c r="C93" s="11">
        <v>46022.0</v>
      </c>
      <c r="D93" s="19">
        <f t="shared" si="36"/>
        <v>46020</v>
      </c>
      <c r="E93" s="20">
        <f t="shared" si="37"/>
        <v>2</v>
      </c>
      <c r="F93" s="29">
        <v>2.0</v>
      </c>
      <c r="G93" s="50">
        <v>72.25</v>
      </c>
      <c r="H93" s="42">
        <f t="shared" si="38"/>
        <v>144.5</v>
      </c>
      <c r="I93" s="18" t="s">
        <v>25</v>
      </c>
      <c r="J93" s="10"/>
      <c r="K93" s="43"/>
      <c r="O93" s="10" t="s">
        <v>107</v>
      </c>
    </row>
    <row r="94" ht="22.5" customHeight="1">
      <c r="A94" s="28"/>
      <c r="B94" s="19"/>
      <c r="C94" s="19"/>
      <c r="E94" s="20"/>
      <c r="F94" s="21"/>
      <c r="G94" s="42"/>
      <c r="H94" s="42"/>
      <c r="I94" s="22"/>
      <c r="K94" s="43"/>
    </row>
    <row r="95" ht="22.5" customHeight="1">
      <c r="B95" s="72"/>
      <c r="C95" s="72"/>
      <c r="D95" s="77"/>
      <c r="E95" s="73"/>
      <c r="F95" s="83"/>
      <c r="G95" s="81"/>
      <c r="H95" s="81"/>
      <c r="I95" s="84"/>
      <c r="K95" s="43"/>
    </row>
    <row r="96" ht="22.5" customHeight="1">
      <c r="A96" s="28"/>
      <c r="B96" s="19"/>
      <c r="C96" s="19"/>
      <c r="E96" s="20"/>
      <c r="F96" s="21"/>
      <c r="G96" s="42"/>
      <c r="H96" s="42"/>
      <c r="I96" s="22"/>
      <c r="J96" s="28"/>
      <c r="K96" s="43"/>
    </row>
    <row r="97" ht="22.5" customHeight="1">
      <c r="B97" s="19"/>
      <c r="C97" s="19"/>
      <c r="E97" s="20"/>
      <c r="F97" s="21"/>
      <c r="G97" s="42"/>
      <c r="H97" s="42"/>
      <c r="I97" s="22"/>
      <c r="K97" s="43"/>
    </row>
    <row r="98" ht="22.5" customHeight="1">
      <c r="B98" s="19"/>
      <c r="C98" s="19"/>
      <c r="E98" s="20"/>
      <c r="F98" s="21"/>
      <c r="G98" s="42"/>
      <c r="H98" s="42"/>
      <c r="I98" s="22"/>
      <c r="K98" s="43"/>
    </row>
    <row r="99" ht="22.5" customHeight="1">
      <c r="B99" s="19"/>
      <c r="C99" s="19"/>
      <c r="E99" s="20"/>
      <c r="F99" s="21"/>
      <c r="G99" s="42"/>
      <c r="H99" s="42"/>
      <c r="I99" s="22"/>
      <c r="K99" s="43"/>
    </row>
    <row r="100" ht="22.5" customHeight="1">
      <c r="B100" s="19"/>
      <c r="C100" s="19"/>
      <c r="D100" s="23"/>
      <c r="E100" s="20"/>
      <c r="F100" s="21"/>
      <c r="G100" s="42"/>
      <c r="H100" s="42"/>
      <c r="I100" s="22"/>
      <c r="K100" s="43"/>
    </row>
    <row r="101" ht="22.5" customHeight="1">
      <c r="B101" s="19"/>
      <c r="C101" s="19"/>
      <c r="E101" s="20"/>
      <c r="F101" s="21"/>
      <c r="G101" s="42"/>
      <c r="H101" s="42"/>
      <c r="I101" s="22"/>
      <c r="K101" s="43"/>
    </row>
    <row r="102" ht="22.5" customHeight="1">
      <c r="A102" s="28"/>
      <c r="B102" s="19"/>
      <c r="C102" s="19"/>
      <c r="E102" s="20"/>
      <c r="F102" s="21"/>
      <c r="G102" s="42"/>
      <c r="H102" s="42"/>
      <c r="I102" s="22"/>
      <c r="K102" s="43"/>
    </row>
    <row r="103" ht="22.5" customHeight="1">
      <c r="A103" s="28"/>
      <c r="B103" s="19"/>
      <c r="C103" s="19"/>
      <c r="E103" s="20"/>
      <c r="F103" s="21"/>
      <c r="G103" s="42"/>
      <c r="H103" s="42"/>
      <c r="I103" s="22"/>
      <c r="J103" s="28"/>
      <c r="K103" s="43"/>
    </row>
    <row r="104" ht="22.5" customHeight="1">
      <c r="B104" s="19"/>
      <c r="C104" s="19"/>
      <c r="E104" s="20"/>
      <c r="F104" s="21"/>
      <c r="G104" s="42"/>
      <c r="H104" s="42"/>
      <c r="I104" s="22"/>
      <c r="K104" s="43"/>
    </row>
    <row r="105" ht="22.5" customHeight="1">
      <c r="A105" s="28"/>
      <c r="B105" s="19"/>
      <c r="C105" s="19"/>
      <c r="E105" s="20"/>
      <c r="F105" s="21"/>
      <c r="G105" s="42"/>
      <c r="H105" s="42"/>
      <c r="I105" s="22"/>
      <c r="J105" s="28"/>
      <c r="K105" s="43"/>
    </row>
    <row r="106" ht="22.5" customHeight="1">
      <c r="B106" s="19"/>
      <c r="C106" s="19"/>
      <c r="E106" s="20"/>
      <c r="F106" s="21"/>
      <c r="G106" s="42"/>
      <c r="H106" s="42"/>
      <c r="I106" s="22"/>
      <c r="K106" s="43"/>
    </row>
    <row r="107" ht="22.5" customHeight="1">
      <c r="B107" s="19"/>
      <c r="C107" s="19"/>
      <c r="E107" s="20"/>
      <c r="F107" s="21"/>
      <c r="G107" s="42"/>
      <c r="H107" s="42"/>
      <c r="I107" s="22"/>
      <c r="K107" s="43"/>
    </row>
    <row r="108" ht="22.5" customHeight="1">
      <c r="B108" s="19"/>
      <c r="C108" s="19"/>
      <c r="E108" s="20"/>
      <c r="F108" s="21"/>
      <c r="G108" s="42"/>
      <c r="H108" s="42"/>
      <c r="I108" s="22"/>
      <c r="K108" s="43"/>
    </row>
    <row r="109" ht="22.5" customHeight="1">
      <c r="B109" s="19"/>
      <c r="C109" s="19"/>
      <c r="D109" s="23"/>
      <c r="E109" s="20"/>
      <c r="F109" s="21"/>
      <c r="G109" s="42"/>
      <c r="H109" s="42"/>
      <c r="I109" s="22"/>
      <c r="K109" s="43"/>
    </row>
    <row r="110" ht="22.5" customHeight="1">
      <c r="B110" s="19"/>
      <c r="C110" s="19"/>
      <c r="E110" s="20"/>
      <c r="F110" s="21"/>
      <c r="G110" s="42"/>
      <c r="H110" s="42"/>
      <c r="I110" s="22"/>
      <c r="K110" s="43"/>
    </row>
    <row r="111" ht="22.5" customHeight="1">
      <c r="A111" s="28"/>
      <c r="B111" s="19"/>
      <c r="C111" s="19"/>
      <c r="E111" s="20"/>
      <c r="F111" s="21"/>
      <c r="G111" s="42"/>
      <c r="H111" s="42"/>
      <c r="I111" s="22"/>
      <c r="K111" s="43"/>
    </row>
    <row r="112" ht="22.5" customHeight="1">
      <c r="A112" s="28"/>
      <c r="B112" s="19"/>
      <c r="C112" s="19"/>
      <c r="E112" s="20"/>
      <c r="F112" s="21"/>
      <c r="G112" s="42"/>
      <c r="H112" s="42"/>
      <c r="I112" s="22"/>
      <c r="J112" s="28"/>
      <c r="K112" s="43"/>
    </row>
    <row r="113" ht="22.5" customHeight="1">
      <c r="B113" s="19"/>
      <c r="C113" s="19"/>
      <c r="E113" s="20"/>
      <c r="F113" s="21"/>
      <c r="G113" s="42"/>
      <c r="H113" s="42"/>
      <c r="I113" s="22"/>
      <c r="K113" s="43"/>
    </row>
    <row r="114" ht="22.5" customHeight="1">
      <c r="B114" s="19"/>
      <c r="C114" s="19"/>
      <c r="E114" s="20"/>
      <c r="F114" s="21"/>
      <c r="G114" s="42"/>
      <c r="H114" s="42"/>
      <c r="I114" s="22"/>
      <c r="K114" s="43"/>
    </row>
    <row r="115" ht="22.5" customHeight="1">
      <c r="B115" s="19"/>
      <c r="C115" s="19"/>
      <c r="E115" s="20"/>
      <c r="F115" s="21"/>
      <c r="G115" s="42"/>
      <c r="H115" s="42"/>
      <c r="I115" s="22"/>
      <c r="K115" s="43"/>
    </row>
    <row r="116" ht="22.5" customHeight="1">
      <c r="B116" s="19"/>
      <c r="C116" s="19"/>
      <c r="D116" s="23"/>
      <c r="E116" s="20"/>
      <c r="F116" s="21"/>
      <c r="G116" s="42"/>
      <c r="H116" s="42"/>
      <c r="I116" s="22"/>
      <c r="K116" s="43"/>
    </row>
    <row r="117" ht="22.5" customHeight="1">
      <c r="B117" s="19"/>
      <c r="C117" s="19"/>
      <c r="E117" s="20"/>
      <c r="F117" s="21"/>
      <c r="G117" s="42"/>
      <c r="H117" s="42"/>
      <c r="I117" s="22"/>
      <c r="K117" s="43"/>
    </row>
    <row r="118" ht="22.5" customHeight="1">
      <c r="A118" s="28"/>
      <c r="B118" s="19"/>
      <c r="C118" s="19"/>
      <c r="E118" s="20"/>
      <c r="F118" s="21"/>
      <c r="G118" s="42"/>
      <c r="H118" s="42"/>
      <c r="I118" s="22"/>
      <c r="K118" s="43"/>
    </row>
    <row r="119" ht="22.5" customHeight="1">
      <c r="B119" s="19"/>
      <c r="C119" s="19"/>
      <c r="E119" s="20"/>
      <c r="F119" s="21"/>
      <c r="G119" s="42"/>
      <c r="H119" s="42"/>
      <c r="I119" s="22"/>
      <c r="K119" s="43"/>
    </row>
    <row r="120" ht="22.5" customHeight="1">
      <c r="B120" s="19"/>
      <c r="C120" s="19"/>
      <c r="E120" s="20"/>
      <c r="F120" s="21"/>
      <c r="G120" s="42"/>
      <c r="H120" s="42"/>
      <c r="I120" s="22"/>
      <c r="K120" s="43"/>
    </row>
    <row r="121" ht="22.5" customHeight="1">
      <c r="B121" s="19"/>
      <c r="C121" s="19"/>
      <c r="D121" s="23"/>
      <c r="E121" s="20"/>
      <c r="F121" s="21"/>
      <c r="G121" s="42"/>
      <c r="H121" s="42"/>
      <c r="I121" s="22"/>
      <c r="K121" s="43"/>
    </row>
    <row r="122" ht="22.5" customHeight="1">
      <c r="B122" s="19"/>
      <c r="C122" s="19"/>
      <c r="E122" s="20"/>
      <c r="F122" s="21"/>
      <c r="G122" s="42"/>
      <c r="H122" s="42"/>
      <c r="I122" s="22"/>
      <c r="K122" s="43"/>
    </row>
    <row r="123" ht="22.5" customHeight="1">
      <c r="A123" s="28"/>
      <c r="B123" s="19"/>
      <c r="C123" s="19"/>
      <c r="E123" s="20"/>
      <c r="F123" s="21"/>
      <c r="G123" s="42"/>
      <c r="H123" s="42"/>
      <c r="I123" s="22"/>
      <c r="K123" s="43"/>
    </row>
    <row r="124" ht="22.5" customHeight="1">
      <c r="B124" s="19"/>
      <c r="C124" s="19"/>
      <c r="E124" s="20"/>
      <c r="F124" s="21"/>
      <c r="G124" s="42"/>
      <c r="H124" s="42"/>
      <c r="I124" s="22"/>
      <c r="K124" s="43"/>
    </row>
    <row r="125" ht="22.5" customHeight="1">
      <c r="B125" s="19"/>
      <c r="C125" s="19"/>
      <c r="E125" s="20"/>
      <c r="F125" s="21"/>
      <c r="G125" s="42"/>
      <c r="H125" s="42"/>
      <c r="I125" s="22"/>
      <c r="K125" s="43"/>
    </row>
    <row r="126" ht="22.5" customHeight="1">
      <c r="B126" s="19"/>
      <c r="C126" s="19"/>
      <c r="E126" s="20"/>
      <c r="F126" s="21"/>
      <c r="G126" s="42"/>
      <c r="H126" s="42"/>
      <c r="I126" s="22"/>
      <c r="K126" s="43"/>
    </row>
    <row r="127" ht="22.5" customHeight="1">
      <c r="B127" s="19"/>
      <c r="C127" s="19"/>
      <c r="E127" s="20"/>
      <c r="F127" s="21"/>
      <c r="G127" s="42"/>
      <c r="H127" s="42"/>
      <c r="I127" s="22"/>
      <c r="K127" s="43"/>
    </row>
    <row r="128" ht="22.5" customHeight="1">
      <c r="B128" s="19"/>
      <c r="C128" s="19"/>
      <c r="E128" s="20"/>
      <c r="F128" s="21"/>
      <c r="G128" s="42"/>
      <c r="H128" s="42"/>
      <c r="I128" s="22"/>
      <c r="K128" s="43"/>
    </row>
    <row r="129" ht="22.5" customHeight="1">
      <c r="B129" s="19"/>
      <c r="C129" s="19"/>
      <c r="E129" s="20"/>
      <c r="F129" s="21"/>
      <c r="G129" s="42"/>
      <c r="H129" s="42"/>
      <c r="I129" s="22"/>
      <c r="K129" s="43"/>
    </row>
    <row r="130" ht="22.5" customHeight="1">
      <c r="B130" s="19"/>
      <c r="C130" s="19"/>
      <c r="E130" s="20"/>
      <c r="F130" s="21"/>
      <c r="G130" s="42"/>
      <c r="H130" s="42"/>
      <c r="I130" s="22"/>
      <c r="K130" s="43"/>
    </row>
    <row r="131" ht="22.5" customHeight="1">
      <c r="B131" s="19"/>
      <c r="C131" s="19"/>
      <c r="E131" s="20"/>
      <c r="F131" s="21"/>
      <c r="G131" s="42"/>
      <c r="H131" s="42"/>
      <c r="I131" s="22"/>
      <c r="K131" s="43"/>
    </row>
    <row r="132" ht="22.5" customHeight="1">
      <c r="B132" s="19"/>
      <c r="C132" s="19"/>
      <c r="E132" s="20"/>
      <c r="F132" s="21"/>
      <c r="G132" s="42"/>
      <c r="H132" s="42"/>
      <c r="I132" s="22"/>
      <c r="K132" s="43"/>
    </row>
    <row r="133" ht="22.5" customHeight="1">
      <c r="B133" s="19"/>
      <c r="C133" s="19"/>
      <c r="E133" s="20"/>
      <c r="F133" s="21"/>
      <c r="G133" s="42"/>
      <c r="H133" s="42"/>
      <c r="I133" s="22"/>
      <c r="K133" s="43"/>
    </row>
    <row r="134" ht="22.5" customHeight="1">
      <c r="B134" s="19"/>
      <c r="C134" s="19"/>
      <c r="E134" s="20"/>
      <c r="F134" s="21"/>
      <c r="G134" s="42"/>
      <c r="H134" s="42"/>
      <c r="I134" s="22"/>
      <c r="K134" s="43"/>
    </row>
    <row r="135" ht="22.5" customHeight="1">
      <c r="B135" s="19"/>
      <c r="C135" s="19"/>
      <c r="E135" s="20"/>
      <c r="F135" s="21"/>
      <c r="G135" s="42"/>
      <c r="H135" s="42"/>
      <c r="I135" s="22"/>
      <c r="K135" s="43"/>
    </row>
    <row r="136" ht="22.5" customHeight="1">
      <c r="B136" s="19"/>
      <c r="C136" s="19"/>
      <c r="E136" s="20"/>
      <c r="F136" s="21"/>
      <c r="G136" s="42"/>
      <c r="H136" s="42"/>
      <c r="I136" s="22"/>
      <c r="K136" s="43"/>
    </row>
    <row r="137" ht="22.5" customHeight="1">
      <c r="B137" s="19"/>
      <c r="C137" s="19"/>
      <c r="E137" s="20"/>
      <c r="F137" s="21"/>
      <c r="G137" s="42"/>
      <c r="H137" s="42"/>
      <c r="I137" s="22"/>
      <c r="K137" s="43"/>
    </row>
    <row r="138" ht="22.5" customHeight="1">
      <c r="B138" s="19"/>
      <c r="C138" s="19"/>
      <c r="E138" s="20"/>
      <c r="F138" s="21"/>
      <c r="G138" s="42"/>
      <c r="H138" s="42"/>
      <c r="I138" s="22"/>
      <c r="K138" s="43"/>
    </row>
    <row r="139" ht="22.5" customHeight="1">
      <c r="B139" s="19"/>
      <c r="C139" s="19"/>
      <c r="E139" s="20"/>
      <c r="F139" s="21"/>
      <c r="G139" s="42"/>
      <c r="H139" s="42"/>
      <c r="I139" s="22"/>
      <c r="K139" s="43"/>
    </row>
    <row r="140" ht="22.5" customHeight="1">
      <c r="B140" s="19"/>
      <c r="C140" s="19"/>
      <c r="E140" s="20"/>
      <c r="F140" s="21"/>
      <c r="G140" s="42"/>
      <c r="H140" s="42"/>
      <c r="I140" s="22"/>
      <c r="K140" s="43"/>
    </row>
    <row r="141" ht="22.5" customHeight="1">
      <c r="B141" s="19"/>
      <c r="C141" s="19"/>
      <c r="E141" s="20"/>
      <c r="F141" s="21"/>
      <c r="G141" s="42"/>
      <c r="H141" s="42"/>
      <c r="I141" s="22"/>
      <c r="K141" s="43"/>
    </row>
    <row r="142" ht="22.5" customHeight="1">
      <c r="B142" s="19"/>
      <c r="C142" s="19"/>
      <c r="E142" s="20"/>
      <c r="F142" s="21"/>
      <c r="G142" s="42"/>
      <c r="H142" s="42"/>
      <c r="I142" s="22"/>
      <c r="K142" s="43"/>
    </row>
    <row r="143" ht="22.5" customHeight="1">
      <c r="B143" s="19"/>
      <c r="C143" s="19"/>
      <c r="E143" s="20"/>
      <c r="F143" s="21"/>
      <c r="G143" s="42"/>
      <c r="H143" s="42"/>
      <c r="I143" s="22"/>
      <c r="K143" s="43"/>
    </row>
    <row r="144" ht="22.5" customHeight="1">
      <c r="B144" s="19"/>
      <c r="C144" s="19"/>
      <c r="E144" s="20"/>
      <c r="F144" s="21"/>
      <c r="G144" s="42"/>
      <c r="H144" s="42"/>
      <c r="I144" s="22"/>
      <c r="K144" s="43"/>
    </row>
    <row r="145" ht="22.5" customHeight="1">
      <c r="B145" s="19"/>
      <c r="C145" s="19"/>
      <c r="E145" s="20"/>
      <c r="F145" s="21"/>
      <c r="G145" s="42"/>
      <c r="H145" s="42"/>
      <c r="I145" s="22"/>
      <c r="K145" s="43"/>
    </row>
    <row r="146" ht="22.5" customHeight="1">
      <c r="B146" s="19"/>
      <c r="C146" s="19"/>
      <c r="E146" s="20"/>
      <c r="F146" s="21"/>
      <c r="G146" s="42"/>
      <c r="H146" s="42"/>
      <c r="I146" s="22"/>
      <c r="K146" s="43"/>
    </row>
    <row r="147" ht="22.5" customHeight="1">
      <c r="B147" s="19"/>
      <c r="C147" s="19"/>
      <c r="E147" s="20"/>
      <c r="F147" s="21"/>
      <c r="G147" s="42"/>
      <c r="H147" s="42"/>
      <c r="I147" s="22"/>
      <c r="K147" s="43"/>
    </row>
    <row r="148" ht="22.5" customHeight="1">
      <c r="B148" s="19"/>
      <c r="C148" s="19"/>
      <c r="E148" s="20"/>
      <c r="F148" s="21"/>
      <c r="G148" s="42"/>
      <c r="H148" s="42"/>
      <c r="I148" s="22"/>
      <c r="K148" s="43"/>
    </row>
    <row r="149" ht="22.5" customHeight="1">
      <c r="B149" s="19"/>
      <c r="C149" s="19"/>
      <c r="E149" s="20"/>
      <c r="F149" s="21"/>
      <c r="G149" s="42"/>
      <c r="H149" s="42"/>
      <c r="I149" s="22"/>
      <c r="K149" s="43"/>
    </row>
    <row r="150" ht="22.5" customHeight="1">
      <c r="B150" s="19"/>
      <c r="C150" s="19"/>
      <c r="E150" s="20"/>
      <c r="F150" s="21"/>
      <c r="G150" s="42"/>
      <c r="H150" s="42"/>
      <c r="I150" s="22"/>
      <c r="K150" s="43"/>
    </row>
    <row r="151" ht="22.5" customHeight="1">
      <c r="B151" s="19"/>
      <c r="C151" s="19"/>
      <c r="E151" s="20"/>
      <c r="F151" s="21"/>
      <c r="G151" s="42"/>
      <c r="H151" s="42"/>
      <c r="I151" s="22"/>
      <c r="K151" s="43"/>
    </row>
    <row r="152" ht="22.5" customHeight="1">
      <c r="B152" s="19"/>
      <c r="C152" s="19"/>
      <c r="E152" s="20"/>
      <c r="F152" s="21"/>
      <c r="G152" s="42"/>
      <c r="H152" s="42"/>
      <c r="I152" s="22"/>
      <c r="K152" s="43"/>
    </row>
    <row r="153" ht="22.5" customHeight="1">
      <c r="B153" s="19"/>
      <c r="C153" s="19"/>
      <c r="E153" s="20"/>
      <c r="F153" s="21"/>
      <c r="G153" s="42"/>
      <c r="H153" s="42"/>
      <c r="I153" s="22"/>
      <c r="K153" s="43"/>
    </row>
    <row r="154" ht="22.5" customHeight="1">
      <c r="B154" s="19"/>
      <c r="C154" s="19"/>
      <c r="E154" s="20"/>
      <c r="F154" s="21"/>
      <c r="G154" s="42"/>
      <c r="H154" s="42"/>
      <c r="I154" s="22"/>
      <c r="K154" s="43"/>
    </row>
    <row r="155" ht="22.5" customHeight="1">
      <c r="B155" s="19"/>
      <c r="C155" s="19"/>
      <c r="E155" s="20"/>
      <c r="F155" s="21"/>
      <c r="G155" s="42"/>
      <c r="H155" s="42"/>
      <c r="I155" s="22"/>
      <c r="K155" s="43"/>
    </row>
    <row r="156" ht="22.5" customHeight="1">
      <c r="B156" s="19"/>
      <c r="C156" s="19"/>
      <c r="E156" s="20"/>
      <c r="F156" s="21"/>
      <c r="G156" s="42"/>
      <c r="H156" s="42"/>
      <c r="I156" s="22"/>
      <c r="K156" s="43"/>
    </row>
    <row r="157" ht="22.5" customHeight="1">
      <c r="B157" s="19"/>
      <c r="C157" s="19"/>
      <c r="E157" s="20"/>
      <c r="F157" s="21"/>
      <c r="G157" s="42"/>
      <c r="H157" s="42"/>
      <c r="I157" s="22"/>
      <c r="K157" s="43"/>
    </row>
    <row r="158" ht="22.5" customHeight="1">
      <c r="B158" s="19"/>
      <c r="C158" s="19"/>
      <c r="E158" s="20"/>
      <c r="F158" s="21"/>
      <c r="G158" s="42"/>
      <c r="H158" s="42"/>
      <c r="I158" s="22"/>
      <c r="K158" s="43"/>
    </row>
    <row r="159" ht="22.5" customHeight="1">
      <c r="B159" s="19"/>
      <c r="C159" s="19"/>
      <c r="E159" s="20"/>
      <c r="F159" s="21"/>
      <c r="G159" s="42"/>
      <c r="H159" s="42"/>
      <c r="I159" s="22"/>
      <c r="K159" s="43"/>
    </row>
    <row r="160" ht="22.5" customHeight="1">
      <c r="B160" s="19"/>
      <c r="C160" s="19"/>
      <c r="E160" s="20"/>
      <c r="F160" s="21"/>
      <c r="G160" s="42"/>
      <c r="H160" s="42"/>
      <c r="I160" s="22"/>
      <c r="K160" s="43"/>
    </row>
    <row r="161" ht="22.5" customHeight="1">
      <c r="B161" s="19"/>
      <c r="C161" s="19"/>
      <c r="E161" s="20"/>
      <c r="F161" s="21"/>
      <c r="G161" s="42"/>
      <c r="H161" s="42"/>
      <c r="I161" s="22"/>
      <c r="K161" s="43"/>
    </row>
    <row r="162" ht="22.5" customHeight="1">
      <c r="B162" s="19"/>
      <c r="C162" s="19"/>
      <c r="E162" s="20"/>
      <c r="F162" s="21"/>
      <c r="G162" s="42"/>
      <c r="H162" s="42"/>
      <c r="I162" s="22"/>
      <c r="K162" s="43"/>
    </row>
    <row r="163" ht="22.5" customHeight="1">
      <c r="B163" s="19"/>
      <c r="C163" s="19"/>
      <c r="E163" s="20"/>
      <c r="F163" s="21"/>
      <c r="G163" s="42"/>
      <c r="H163" s="42"/>
      <c r="I163" s="22"/>
      <c r="K163" s="43"/>
    </row>
    <row r="164" ht="22.5" customHeight="1">
      <c r="B164" s="19"/>
      <c r="C164" s="19"/>
      <c r="E164" s="20"/>
      <c r="F164" s="21"/>
      <c r="G164" s="42"/>
      <c r="H164" s="42"/>
      <c r="I164" s="22"/>
      <c r="K164" s="43"/>
    </row>
    <row r="165" ht="22.5" customHeight="1">
      <c r="B165" s="19"/>
      <c r="C165" s="19"/>
      <c r="E165" s="20"/>
      <c r="F165" s="21"/>
      <c r="G165" s="42"/>
      <c r="H165" s="42"/>
      <c r="I165" s="22"/>
      <c r="K165" s="43"/>
    </row>
    <row r="166" ht="22.5" customHeight="1">
      <c r="B166" s="19"/>
      <c r="C166" s="19"/>
      <c r="E166" s="20"/>
      <c r="F166" s="21"/>
      <c r="G166" s="42"/>
      <c r="H166" s="42"/>
      <c r="I166" s="22"/>
      <c r="K166" s="43"/>
    </row>
    <row r="167" ht="22.5" customHeight="1">
      <c r="B167" s="19"/>
      <c r="C167" s="19"/>
      <c r="E167" s="20"/>
      <c r="F167" s="21"/>
      <c r="G167" s="42"/>
      <c r="H167" s="42"/>
      <c r="I167" s="22"/>
      <c r="K167" s="43"/>
    </row>
    <row r="168" ht="22.5" customHeight="1">
      <c r="B168" s="19"/>
      <c r="C168" s="19"/>
      <c r="E168" s="20"/>
      <c r="F168" s="21"/>
      <c r="G168" s="42"/>
      <c r="H168" s="42"/>
      <c r="I168" s="22"/>
      <c r="K168" s="43"/>
    </row>
    <row r="169" ht="22.5" customHeight="1">
      <c r="B169" s="19"/>
      <c r="C169" s="19"/>
      <c r="E169" s="20"/>
      <c r="F169" s="21"/>
      <c r="G169" s="42"/>
      <c r="H169" s="42"/>
      <c r="I169" s="22"/>
      <c r="K169" s="43"/>
    </row>
    <row r="170" ht="22.5" customHeight="1">
      <c r="B170" s="19"/>
      <c r="C170" s="19"/>
      <c r="E170" s="20"/>
      <c r="F170" s="21"/>
      <c r="G170" s="42"/>
      <c r="H170" s="42"/>
      <c r="I170" s="22"/>
      <c r="K170" s="43"/>
    </row>
    <row r="171" ht="22.5" customHeight="1">
      <c r="B171" s="19"/>
      <c r="C171" s="19"/>
      <c r="E171" s="20"/>
      <c r="F171" s="21"/>
      <c r="G171" s="42"/>
      <c r="H171" s="42"/>
      <c r="I171" s="22"/>
      <c r="K171" s="43"/>
    </row>
    <row r="172" ht="22.5" customHeight="1">
      <c r="B172" s="19"/>
      <c r="C172" s="19"/>
      <c r="E172" s="20"/>
      <c r="F172" s="21"/>
      <c r="G172" s="42"/>
      <c r="H172" s="42"/>
      <c r="I172" s="22"/>
      <c r="K172" s="43"/>
    </row>
    <row r="173" ht="22.5" customHeight="1">
      <c r="B173" s="19"/>
      <c r="C173" s="19"/>
      <c r="E173" s="20"/>
      <c r="F173" s="21"/>
      <c r="G173" s="42"/>
      <c r="H173" s="42"/>
      <c r="I173" s="22"/>
      <c r="K173" s="43"/>
    </row>
    <row r="174" ht="22.5" customHeight="1">
      <c r="B174" s="19"/>
      <c r="C174" s="19"/>
      <c r="E174" s="20"/>
      <c r="F174" s="21"/>
      <c r="G174" s="42"/>
      <c r="H174" s="42"/>
      <c r="I174" s="22"/>
      <c r="K174" s="43"/>
    </row>
    <row r="175" ht="22.5" customHeight="1">
      <c r="B175" s="19"/>
      <c r="C175" s="19"/>
      <c r="E175" s="20"/>
      <c r="F175" s="21"/>
      <c r="G175" s="42"/>
      <c r="H175" s="42"/>
      <c r="I175" s="22"/>
      <c r="K175" s="43"/>
    </row>
    <row r="176" ht="22.5" customHeight="1">
      <c r="B176" s="19"/>
      <c r="C176" s="19"/>
      <c r="E176" s="20"/>
      <c r="F176" s="21"/>
      <c r="G176" s="42"/>
      <c r="H176" s="42"/>
      <c r="I176" s="22"/>
      <c r="K176" s="43"/>
    </row>
    <row r="177" ht="22.5" customHeight="1">
      <c r="B177" s="19"/>
      <c r="C177" s="19"/>
      <c r="E177" s="20"/>
      <c r="F177" s="21"/>
      <c r="G177" s="42"/>
      <c r="H177" s="42"/>
      <c r="I177" s="22"/>
      <c r="K177" s="43"/>
    </row>
    <row r="178" ht="22.5" customHeight="1">
      <c r="B178" s="19"/>
      <c r="C178" s="19"/>
      <c r="E178" s="20"/>
      <c r="F178" s="21"/>
      <c r="G178" s="42"/>
      <c r="H178" s="42"/>
      <c r="I178" s="22"/>
      <c r="K178" s="43"/>
    </row>
    <row r="179" ht="22.5" customHeight="1">
      <c r="B179" s="19"/>
      <c r="C179" s="19"/>
      <c r="E179" s="20"/>
      <c r="F179" s="21"/>
      <c r="G179" s="42"/>
      <c r="H179" s="42"/>
      <c r="I179" s="22"/>
      <c r="K179" s="43"/>
    </row>
    <row r="180" ht="22.5" customHeight="1">
      <c r="B180" s="19"/>
      <c r="C180" s="19"/>
      <c r="E180" s="20"/>
      <c r="F180" s="21"/>
      <c r="G180" s="42"/>
      <c r="H180" s="42"/>
      <c r="I180" s="22"/>
      <c r="K180" s="43"/>
    </row>
    <row r="181" ht="22.5" customHeight="1">
      <c r="B181" s="19"/>
      <c r="C181" s="19"/>
      <c r="E181" s="20"/>
      <c r="F181" s="21"/>
      <c r="G181" s="42"/>
      <c r="H181" s="42"/>
      <c r="I181" s="22"/>
      <c r="K181" s="43"/>
    </row>
    <row r="182" ht="22.5" customHeight="1">
      <c r="B182" s="19"/>
      <c r="C182" s="19"/>
      <c r="E182" s="20"/>
      <c r="F182" s="21"/>
      <c r="G182" s="42"/>
      <c r="H182" s="42"/>
      <c r="I182" s="22"/>
      <c r="K182" s="43"/>
    </row>
    <row r="183" ht="22.5" customHeight="1">
      <c r="B183" s="19"/>
      <c r="C183" s="19"/>
      <c r="E183" s="20"/>
      <c r="F183" s="21"/>
      <c r="G183" s="42"/>
      <c r="H183" s="42"/>
      <c r="I183" s="22"/>
      <c r="K183" s="43"/>
    </row>
    <row r="184" ht="22.5" customHeight="1">
      <c r="B184" s="19"/>
      <c r="C184" s="19"/>
      <c r="E184" s="20"/>
      <c r="F184" s="21"/>
      <c r="G184" s="42"/>
      <c r="H184" s="42"/>
      <c r="I184" s="22"/>
      <c r="K184" s="43"/>
    </row>
    <row r="185" ht="22.5" customHeight="1">
      <c r="B185" s="19"/>
      <c r="C185" s="19"/>
      <c r="E185" s="20"/>
      <c r="F185" s="21"/>
      <c r="G185" s="42"/>
      <c r="H185" s="42"/>
      <c r="I185" s="22"/>
      <c r="K185" s="43"/>
    </row>
    <row r="186" ht="22.5" customHeight="1">
      <c r="B186" s="19"/>
      <c r="C186" s="19"/>
      <c r="E186" s="20"/>
      <c r="F186" s="21"/>
      <c r="G186" s="42"/>
      <c r="H186" s="42"/>
      <c r="I186" s="22"/>
      <c r="K186" s="43"/>
    </row>
    <row r="187" ht="22.5" customHeight="1">
      <c r="B187" s="19"/>
      <c r="C187" s="19"/>
      <c r="E187" s="20"/>
      <c r="F187" s="21"/>
      <c r="G187" s="42"/>
      <c r="H187" s="42"/>
      <c r="I187" s="22"/>
      <c r="K187" s="43"/>
    </row>
    <row r="188" ht="22.5" customHeight="1">
      <c r="B188" s="19"/>
      <c r="C188" s="19"/>
      <c r="E188" s="20"/>
      <c r="F188" s="21"/>
      <c r="G188" s="42"/>
      <c r="H188" s="42"/>
      <c r="I188" s="22"/>
      <c r="K188" s="43"/>
    </row>
    <row r="189" ht="22.5" customHeight="1">
      <c r="B189" s="19"/>
      <c r="C189" s="19"/>
      <c r="E189" s="20"/>
      <c r="F189" s="21"/>
      <c r="G189" s="42"/>
      <c r="H189" s="42"/>
      <c r="I189" s="22"/>
      <c r="K189" s="43"/>
    </row>
    <row r="190" ht="22.5" customHeight="1">
      <c r="B190" s="19"/>
      <c r="C190" s="19"/>
      <c r="E190" s="20"/>
      <c r="F190" s="21"/>
      <c r="G190" s="42"/>
      <c r="H190" s="42"/>
      <c r="I190" s="22"/>
      <c r="K190" s="43"/>
    </row>
    <row r="191" ht="22.5" customHeight="1">
      <c r="B191" s="19"/>
      <c r="C191" s="19"/>
      <c r="E191" s="20"/>
      <c r="F191" s="21"/>
      <c r="G191" s="42"/>
      <c r="H191" s="42"/>
      <c r="I191" s="22"/>
      <c r="K191" s="43"/>
    </row>
    <row r="192" ht="22.5" customHeight="1">
      <c r="B192" s="19"/>
      <c r="C192" s="19"/>
      <c r="E192" s="20"/>
      <c r="F192" s="21"/>
      <c r="G192" s="42"/>
      <c r="H192" s="42"/>
      <c r="I192" s="22"/>
      <c r="K192" s="43"/>
    </row>
    <row r="193" ht="22.5" customHeight="1">
      <c r="B193" s="19"/>
      <c r="C193" s="19"/>
      <c r="E193" s="20"/>
      <c r="F193" s="21"/>
      <c r="G193" s="42"/>
      <c r="H193" s="42"/>
      <c r="I193" s="22"/>
      <c r="K193" s="43"/>
    </row>
    <row r="194" ht="22.5" customHeight="1">
      <c r="B194" s="19"/>
      <c r="C194" s="19"/>
      <c r="E194" s="20"/>
      <c r="F194" s="21"/>
      <c r="G194" s="42"/>
      <c r="H194" s="42"/>
      <c r="I194" s="22"/>
      <c r="K194" s="43"/>
    </row>
    <row r="195" ht="22.5" customHeight="1">
      <c r="B195" s="19"/>
      <c r="C195" s="19"/>
      <c r="E195" s="20"/>
      <c r="F195" s="21"/>
      <c r="G195" s="42"/>
      <c r="H195" s="42"/>
      <c r="I195" s="22"/>
      <c r="K195" s="43"/>
    </row>
    <row r="196" ht="22.5" customHeight="1">
      <c r="B196" s="19"/>
      <c r="C196" s="19"/>
      <c r="E196" s="20"/>
      <c r="F196" s="21"/>
      <c r="G196" s="42"/>
      <c r="H196" s="42"/>
      <c r="I196" s="22"/>
      <c r="K196" s="43"/>
    </row>
    <row r="197" ht="22.5" customHeight="1">
      <c r="B197" s="19"/>
      <c r="C197" s="19"/>
      <c r="E197" s="20"/>
      <c r="F197" s="21"/>
      <c r="G197" s="42"/>
      <c r="H197" s="42"/>
      <c r="I197" s="22"/>
      <c r="K197" s="43"/>
    </row>
    <row r="198" ht="22.5" customHeight="1">
      <c r="B198" s="19"/>
      <c r="C198" s="19"/>
      <c r="E198" s="20"/>
      <c r="F198" s="21"/>
      <c r="G198" s="42"/>
      <c r="H198" s="42"/>
      <c r="I198" s="22"/>
      <c r="K198" s="43"/>
    </row>
    <row r="199" ht="22.5" customHeight="1">
      <c r="B199" s="19"/>
      <c r="C199" s="19"/>
      <c r="E199" s="20"/>
      <c r="F199" s="21"/>
      <c r="G199" s="42"/>
      <c r="H199" s="42"/>
      <c r="I199" s="22"/>
      <c r="K199" s="43"/>
    </row>
    <row r="200" ht="22.5" customHeight="1">
      <c r="B200" s="19"/>
      <c r="C200" s="19"/>
      <c r="E200" s="20"/>
      <c r="F200" s="21"/>
      <c r="G200" s="42"/>
      <c r="H200" s="42"/>
      <c r="I200" s="22"/>
      <c r="K200" s="43"/>
    </row>
    <row r="201" ht="22.5" customHeight="1">
      <c r="B201" s="19"/>
      <c r="C201" s="19"/>
      <c r="E201" s="20"/>
      <c r="F201" s="21"/>
      <c r="G201" s="42"/>
      <c r="H201" s="42"/>
      <c r="I201" s="22"/>
      <c r="K201" s="43"/>
    </row>
    <row r="202" ht="22.5" customHeight="1">
      <c r="B202" s="19"/>
      <c r="C202" s="19"/>
      <c r="E202" s="20"/>
      <c r="F202" s="21"/>
      <c r="G202" s="42"/>
      <c r="H202" s="42"/>
      <c r="I202" s="22"/>
      <c r="K202" s="43"/>
    </row>
    <row r="203" ht="22.5" customHeight="1">
      <c r="B203" s="19"/>
      <c r="C203" s="19"/>
      <c r="E203" s="20"/>
      <c r="F203" s="21"/>
      <c r="G203" s="42"/>
      <c r="H203" s="42"/>
      <c r="I203" s="22"/>
      <c r="K203" s="43"/>
    </row>
    <row r="204" ht="22.5" customHeight="1">
      <c r="B204" s="19"/>
      <c r="C204" s="19"/>
      <c r="E204" s="20"/>
      <c r="F204" s="21"/>
      <c r="G204" s="42"/>
      <c r="H204" s="42"/>
      <c r="I204" s="22"/>
      <c r="K204" s="43"/>
    </row>
    <row r="205" ht="22.5" customHeight="1">
      <c r="B205" s="19"/>
      <c r="C205" s="19"/>
      <c r="E205" s="20"/>
      <c r="F205" s="21"/>
      <c r="G205" s="42"/>
      <c r="H205" s="42"/>
      <c r="I205" s="22"/>
      <c r="K205" s="43"/>
    </row>
    <row r="206" ht="22.5" customHeight="1">
      <c r="B206" s="19"/>
      <c r="C206" s="19"/>
      <c r="E206" s="20"/>
      <c r="F206" s="21"/>
      <c r="G206" s="42"/>
      <c r="H206" s="42"/>
      <c r="I206" s="22"/>
      <c r="K206" s="43"/>
    </row>
    <row r="207" ht="22.5" customHeight="1">
      <c r="B207" s="19"/>
      <c r="C207" s="19"/>
      <c r="E207" s="20"/>
      <c r="F207" s="21"/>
      <c r="G207" s="42"/>
      <c r="H207" s="42"/>
      <c r="I207" s="22"/>
      <c r="K207" s="43"/>
    </row>
    <row r="208" ht="22.5" customHeight="1">
      <c r="B208" s="19"/>
      <c r="C208" s="19"/>
      <c r="E208" s="20"/>
      <c r="F208" s="21"/>
      <c r="G208" s="42"/>
      <c r="H208" s="42"/>
      <c r="I208" s="22"/>
      <c r="K208" s="43"/>
    </row>
    <row r="209" ht="22.5" customHeight="1">
      <c r="B209" s="19"/>
      <c r="C209" s="19"/>
      <c r="E209" s="20"/>
      <c r="F209" s="21"/>
      <c r="G209" s="42"/>
      <c r="H209" s="42"/>
      <c r="I209" s="22"/>
      <c r="K209" s="43"/>
    </row>
    <row r="210" ht="22.5" customHeight="1">
      <c r="B210" s="19"/>
      <c r="C210" s="19"/>
      <c r="E210" s="20"/>
      <c r="F210" s="21"/>
      <c r="G210" s="42"/>
      <c r="H210" s="42"/>
      <c r="I210" s="22"/>
      <c r="K210" s="43"/>
    </row>
    <row r="211" ht="22.5" customHeight="1">
      <c r="B211" s="19"/>
      <c r="C211" s="19"/>
      <c r="E211" s="20"/>
      <c r="F211" s="21"/>
      <c r="G211" s="42"/>
      <c r="H211" s="42"/>
      <c r="I211" s="22"/>
      <c r="K211" s="43"/>
    </row>
    <row r="212" ht="22.5" customHeight="1">
      <c r="B212" s="19"/>
      <c r="C212" s="19"/>
      <c r="E212" s="20"/>
      <c r="F212" s="21"/>
      <c r="G212" s="42"/>
      <c r="H212" s="42"/>
      <c r="I212" s="22"/>
      <c r="K212" s="43"/>
    </row>
    <row r="213" ht="22.5" customHeight="1">
      <c r="B213" s="19"/>
      <c r="C213" s="19"/>
      <c r="E213" s="20"/>
      <c r="F213" s="21"/>
      <c r="G213" s="42"/>
      <c r="H213" s="42"/>
      <c r="I213" s="22"/>
      <c r="K213" s="43"/>
    </row>
    <row r="214" ht="22.5" customHeight="1">
      <c r="B214" s="19"/>
      <c r="C214" s="19"/>
      <c r="E214" s="20"/>
      <c r="F214" s="21"/>
      <c r="G214" s="42"/>
      <c r="H214" s="42"/>
      <c r="I214" s="22"/>
      <c r="K214" s="43"/>
    </row>
    <row r="215" ht="22.5" customHeight="1">
      <c r="B215" s="19"/>
      <c r="C215" s="19"/>
      <c r="E215" s="20"/>
      <c r="F215" s="21"/>
      <c r="G215" s="42"/>
      <c r="H215" s="42"/>
      <c r="I215" s="22"/>
      <c r="K215" s="43"/>
    </row>
    <row r="216" ht="22.5" customHeight="1">
      <c r="B216" s="19"/>
      <c r="C216" s="19"/>
      <c r="E216" s="20"/>
      <c r="F216" s="21"/>
      <c r="G216" s="42"/>
      <c r="H216" s="42"/>
      <c r="I216" s="22"/>
      <c r="K216" s="43"/>
    </row>
    <row r="217" ht="22.5" customHeight="1">
      <c r="B217" s="19"/>
      <c r="C217" s="19"/>
      <c r="E217" s="20"/>
      <c r="F217" s="21"/>
      <c r="G217" s="42"/>
      <c r="H217" s="42"/>
      <c r="I217" s="22"/>
      <c r="K217" s="43"/>
    </row>
    <row r="218" ht="22.5" customHeight="1">
      <c r="B218" s="19"/>
      <c r="C218" s="19"/>
      <c r="E218" s="20"/>
      <c r="F218" s="21"/>
      <c r="G218" s="42"/>
      <c r="H218" s="42"/>
      <c r="I218" s="22"/>
      <c r="K218" s="43"/>
    </row>
    <row r="219" ht="22.5" customHeight="1">
      <c r="B219" s="19"/>
      <c r="C219" s="19"/>
      <c r="E219" s="20"/>
      <c r="F219" s="21"/>
      <c r="G219" s="42"/>
      <c r="H219" s="42"/>
      <c r="I219" s="22"/>
      <c r="K219" s="43"/>
    </row>
    <row r="220" ht="22.5" customHeight="1">
      <c r="B220" s="19"/>
      <c r="C220" s="19"/>
      <c r="E220" s="20"/>
      <c r="F220" s="21"/>
      <c r="G220" s="42"/>
      <c r="H220" s="42"/>
      <c r="I220" s="22"/>
      <c r="K220" s="43"/>
    </row>
    <row r="221" ht="22.5" customHeight="1">
      <c r="B221" s="19"/>
      <c r="C221" s="19"/>
      <c r="E221" s="20"/>
      <c r="F221" s="21"/>
      <c r="G221" s="42"/>
      <c r="H221" s="42"/>
      <c r="I221" s="22"/>
      <c r="K221" s="43"/>
    </row>
    <row r="222" ht="22.5" customHeight="1">
      <c r="B222" s="19"/>
      <c r="C222" s="19"/>
      <c r="E222" s="20"/>
      <c r="F222" s="21"/>
      <c r="G222" s="42"/>
      <c r="H222" s="42"/>
      <c r="I222" s="22"/>
      <c r="K222" s="43"/>
    </row>
    <row r="223" ht="22.5" customHeight="1">
      <c r="B223" s="19"/>
      <c r="C223" s="19"/>
      <c r="E223" s="20"/>
      <c r="F223" s="21"/>
      <c r="G223" s="42"/>
      <c r="H223" s="42"/>
      <c r="I223" s="22"/>
      <c r="K223" s="43"/>
    </row>
    <row r="224" ht="22.5" customHeight="1">
      <c r="B224" s="19"/>
      <c r="C224" s="19"/>
      <c r="E224" s="20"/>
      <c r="F224" s="21"/>
      <c r="G224" s="42"/>
      <c r="H224" s="42"/>
      <c r="I224" s="22"/>
      <c r="K224" s="43"/>
    </row>
    <row r="225" ht="22.5" customHeight="1">
      <c r="B225" s="19"/>
      <c r="C225" s="19"/>
      <c r="E225" s="20"/>
      <c r="F225" s="21"/>
      <c r="G225" s="42"/>
      <c r="H225" s="42"/>
      <c r="I225" s="22"/>
      <c r="K225" s="43"/>
    </row>
    <row r="226" ht="22.5" customHeight="1">
      <c r="B226" s="19"/>
      <c r="C226" s="19"/>
      <c r="E226" s="20"/>
      <c r="F226" s="21"/>
      <c r="G226" s="42"/>
      <c r="H226" s="42"/>
      <c r="I226" s="22"/>
      <c r="K226" s="43"/>
    </row>
    <row r="227" ht="22.5" customHeight="1">
      <c r="B227" s="19"/>
      <c r="C227" s="19"/>
      <c r="E227" s="20"/>
      <c r="F227" s="21"/>
      <c r="G227" s="42"/>
      <c r="H227" s="42"/>
      <c r="I227" s="22"/>
      <c r="K227" s="43"/>
    </row>
    <row r="228" ht="22.5" customHeight="1">
      <c r="B228" s="19"/>
      <c r="C228" s="19"/>
      <c r="E228" s="20"/>
      <c r="F228" s="21"/>
      <c r="G228" s="42"/>
      <c r="H228" s="42"/>
      <c r="I228" s="22"/>
      <c r="K228" s="43"/>
    </row>
    <row r="229" ht="22.5" customHeight="1">
      <c r="B229" s="19"/>
      <c r="C229" s="19"/>
      <c r="E229" s="20"/>
      <c r="F229" s="21"/>
      <c r="G229" s="42"/>
      <c r="H229" s="42"/>
      <c r="I229" s="22"/>
      <c r="K229" s="43"/>
    </row>
    <row r="230" ht="22.5" customHeight="1">
      <c r="B230" s="19"/>
      <c r="C230" s="19"/>
      <c r="E230" s="20"/>
      <c r="F230" s="21"/>
      <c r="G230" s="42"/>
      <c r="H230" s="42"/>
      <c r="I230" s="22"/>
      <c r="K230" s="43"/>
    </row>
    <row r="231" ht="22.5" customHeight="1">
      <c r="B231" s="19"/>
      <c r="C231" s="19"/>
      <c r="E231" s="20"/>
      <c r="F231" s="21"/>
      <c r="G231" s="42"/>
      <c r="H231" s="42"/>
      <c r="I231" s="22"/>
      <c r="K231" s="43"/>
    </row>
    <row r="232" ht="22.5" customHeight="1">
      <c r="B232" s="19"/>
      <c r="C232" s="19"/>
      <c r="E232" s="20"/>
      <c r="F232" s="21"/>
      <c r="G232" s="42"/>
      <c r="H232" s="42"/>
      <c r="I232" s="22"/>
      <c r="K232" s="43"/>
    </row>
    <row r="233" ht="22.5" customHeight="1">
      <c r="B233" s="19"/>
      <c r="C233" s="19"/>
      <c r="E233" s="20"/>
      <c r="F233" s="21"/>
      <c r="G233" s="42"/>
      <c r="H233" s="42"/>
      <c r="I233" s="22"/>
      <c r="K233" s="43"/>
    </row>
    <row r="234" ht="22.5" customHeight="1">
      <c r="B234" s="19"/>
      <c r="C234" s="19"/>
      <c r="E234" s="20"/>
      <c r="F234" s="21"/>
      <c r="G234" s="42"/>
      <c r="H234" s="42"/>
      <c r="I234" s="22"/>
      <c r="K234" s="43"/>
    </row>
    <row r="235" ht="22.5" customHeight="1">
      <c r="B235" s="19"/>
      <c r="C235" s="19"/>
      <c r="E235" s="20"/>
      <c r="F235" s="21"/>
      <c r="G235" s="42"/>
      <c r="H235" s="42"/>
      <c r="I235" s="22"/>
      <c r="K235" s="43"/>
    </row>
    <row r="236" ht="22.5" customHeight="1">
      <c r="B236" s="19"/>
      <c r="C236" s="19"/>
      <c r="E236" s="20"/>
      <c r="F236" s="21"/>
      <c r="G236" s="42"/>
      <c r="H236" s="42"/>
      <c r="I236" s="22"/>
      <c r="K236" s="43"/>
    </row>
    <row r="237" ht="22.5" customHeight="1">
      <c r="B237" s="19"/>
      <c r="C237" s="19"/>
      <c r="E237" s="20"/>
      <c r="F237" s="21"/>
      <c r="G237" s="42"/>
      <c r="H237" s="42"/>
      <c r="I237" s="22"/>
      <c r="K237" s="43"/>
    </row>
    <row r="238" ht="22.5" customHeight="1">
      <c r="B238" s="19"/>
      <c r="C238" s="19"/>
      <c r="E238" s="20"/>
      <c r="F238" s="21"/>
      <c r="G238" s="42"/>
      <c r="H238" s="42"/>
      <c r="I238" s="22"/>
      <c r="K238" s="43"/>
    </row>
    <row r="239" ht="22.5" customHeight="1">
      <c r="B239" s="19"/>
      <c r="C239" s="19"/>
      <c r="E239" s="20"/>
      <c r="F239" s="21"/>
      <c r="G239" s="42"/>
      <c r="H239" s="42"/>
      <c r="I239" s="22"/>
      <c r="K239" s="43"/>
    </row>
    <row r="240" ht="22.5" customHeight="1">
      <c r="B240" s="19"/>
      <c r="C240" s="19"/>
      <c r="E240" s="20"/>
      <c r="F240" s="21"/>
      <c r="G240" s="42"/>
      <c r="H240" s="42"/>
      <c r="I240" s="22"/>
      <c r="K240" s="43"/>
    </row>
    <row r="241" ht="22.5" customHeight="1">
      <c r="B241" s="19"/>
      <c r="C241" s="19"/>
      <c r="E241" s="20"/>
      <c r="F241" s="21"/>
      <c r="G241" s="42"/>
      <c r="H241" s="42"/>
      <c r="I241" s="22"/>
      <c r="K241" s="43"/>
    </row>
    <row r="242" ht="22.5" customHeight="1">
      <c r="B242" s="19"/>
      <c r="C242" s="19"/>
      <c r="E242" s="20"/>
      <c r="F242" s="21"/>
      <c r="G242" s="42"/>
      <c r="H242" s="42"/>
      <c r="I242" s="22"/>
      <c r="K242" s="43"/>
    </row>
    <row r="243" ht="22.5" customHeight="1">
      <c r="B243" s="19"/>
      <c r="C243" s="19"/>
      <c r="E243" s="20"/>
      <c r="F243" s="21"/>
      <c r="G243" s="42"/>
      <c r="H243" s="42"/>
      <c r="I243" s="22"/>
      <c r="K243" s="43"/>
    </row>
    <row r="244" ht="22.5" customHeight="1">
      <c r="B244" s="19"/>
      <c r="C244" s="19"/>
      <c r="E244" s="20"/>
      <c r="F244" s="21"/>
      <c r="G244" s="42"/>
      <c r="H244" s="42"/>
      <c r="I244" s="22"/>
      <c r="K244" s="43"/>
    </row>
    <row r="245" ht="22.5" customHeight="1">
      <c r="B245" s="19"/>
      <c r="C245" s="19"/>
      <c r="E245" s="20"/>
      <c r="F245" s="21"/>
      <c r="G245" s="42"/>
      <c r="H245" s="42"/>
      <c r="I245" s="22"/>
      <c r="K245" s="43"/>
    </row>
    <row r="246" ht="22.5" customHeight="1">
      <c r="B246" s="19"/>
      <c r="C246" s="19"/>
      <c r="E246" s="20"/>
      <c r="F246" s="21"/>
      <c r="G246" s="42"/>
      <c r="H246" s="42"/>
      <c r="I246" s="22"/>
      <c r="K246" s="43"/>
    </row>
    <row r="247" ht="22.5" customHeight="1">
      <c r="B247" s="19"/>
      <c r="C247" s="19"/>
      <c r="E247" s="20"/>
      <c r="F247" s="21"/>
      <c r="G247" s="42"/>
      <c r="H247" s="42"/>
      <c r="I247" s="22"/>
      <c r="K247" s="43"/>
    </row>
    <row r="248" ht="22.5" customHeight="1">
      <c r="B248" s="19"/>
      <c r="C248" s="19"/>
      <c r="E248" s="20"/>
      <c r="F248" s="21"/>
      <c r="G248" s="42"/>
      <c r="H248" s="42"/>
      <c r="I248" s="22"/>
      <c r="K248" s="43"/>
    </row>
    <row r="249" ht="22.5" customHeight="1">
      <c r="B249" s="19"/>
      <c r="C249" s="19"/>
      <c r="E249" s="20"/>
      <c r="F249" s="21"/>
      <c r="G249" s="42"/>
      <c r="H249" s="42"/>
      <c r="I249" s="22"/>
      <c r="K249" s="43"/>
    </row>
    <row r="250" ht="22.5" customHeight="1">
      <c r="B250" s="19"/>
      <c r="C250" s="19"/>
      <c r="E250" s="20"/>
      <c r="F250" s="21"/>
      <c r="G250" s="42"/>
      <c r="H250" s="42"/>
      <c r="I250" s="22"/>
      <c r="K250" s="43"/>
    </row>
    <row r="251" ht="22.5" customHeight="1">
      <c r="B251" s="19"/>
      <c r="C251" s="19"/>
      <c r="E251" s="20"/>
      <c r="F251" s="21"/>
      <c r="G251" s="42"/>
      <c r="H251" s="42"/>
      <c r="I251" s="22"/>
      <c r="K251" s="43"/>
    </row>
    <row r="252" ht="22.5" customHeight="1">
      <c r="B252" s="19"/>
      <c r="C252" s="19"/>
      <c r="E252" s="20"/>
      <c r="F252" s="21"/>
      <c r="G252" s="42"/>
      <c r="H252" s="42"/>
      <c r="I252" s="22"/>
      <c r="K252" s="43"/>
    </row>
    <row r="253" ht="22.5" customHeight="1">
      <c r="B253" s="19"/>
      <c r="C253" s="19"/>
      <c r="E253" s="20"/>
      <c r="F253" s="21"/>
      <c r="G253" s="42"/>
      <c r="H253" s="42"/>
      <c r="I253" s="22"/>
      <c r="K253" s="43"/>
    </row>
    <row r="254" ht="22.5" customHeight="1">
      <c r="B254" s="19"/>
      <c r="C254" s="19"/>
      <c r="E254" s="20"/>
      <c r="F254" s="21"/>
      <c r="G254" s="42"/>
      <c r="H254" s="42"/>
      <c r="I254" s="22"/>
      <c r="K254" s="43"/>
    </row>
    <row r="255" ht="22.5" customHeight="1">
      <c r="B255" s="19"/>
      <c r="C255" s="19"/>
      <c r="E255" s="20"/>
      <c r="F255" s="21"/>
      <c r="G255" s="42"/>
      <c r="H255" s="42"/>
      <c r="I255" s="22"/>
      <c r="K255" s="43"/>
    </row>
    <row r="256" ht="22.5" customHeight="1">
      <c r="B256" s="19"/>
      <c r="C256" s="19"/>
      <c r="E256" s="20"/>
      <c r="F256" s="21"/>
      <c r="G256" s="42"/>
      <c r="H256" s="42"/>
      <c r="I256" s="22"/>
      <c r="K256" s="43"/>
    </row>
    <row r="257" ht="22.5" customHeight="1">
      <c r="B257" s="19"/>
      <c r="C257" s="19"/>
      <c r="E257" s="20"/>
      <c r="F257" s="21"/>
      <c r="G257" s="42"/>
      <c r="H257" s="42"/>
      <c r="I257" s="22"/>
      <c r="K257" s="43"/>
    </row>
    <row r="258" ht="22.5" customHeight="1">
      <c r="B258" s="19"/>
      <c r="C258" s="19"/>
      <c r="E258" s="20"/>
      <c r="F258" s="21"/>
      <c r="G258" s="42"/>
      <c r="H258" s="42"/>
      <c r="I258" s="22"/>
      <c r="K258" s="43"/>
    </row>
    <row r="259" ht="22.5" customHeight="1">
      <c r="B259" s="19"/>
      <c r="C259" s="19"/>
      <c r="E259" s="20"/>
      <c r="F259" s="21"/>
      <c r="G259" s="42"/>
      <c r="H259" s="42"/>
      <c r="I259" s="22"/>
      <c r="K259" s="43"/>
    </row>
    <row r="260" ht="22.5" customHeight="1">
      <c r="B260" s="19"/>
      <c r="C260" s="19"/>
      <c r="E260" s="20"/>
      <c r="F260" s="21"/>
      <c r="G260" s="42"/>
      <c r="H260" s="42"/>
      <c r="I260" s="22"/>
      <c r="K260" s="43"/>
    </row>
    <row r="261" ht="22.5" customHeight="1">
      <c r="B261" s="19"/>
      <c r="C261" s="19"/>
      <c r="E261" s="20"/>
      <c r="F261" s="21"/>
      <c r="G261" s="42"/>
      <c r="H261" s="42"/>
      <c r="I261" s="22"/>
      <c r="K261" s="43"/>
    </row>
    <row r="262" ht="22.5" customHeight="1">
      <c r="B262" s="19"/>
      <c r="C262" s="19"/>
      <c r="E262" s="20"/>
      <c r="F262" s="21"/>
      <c r="G262" s="42"/>
      <c r="H262" s="42"/>
      <c r="I262" s="22"/>
      <c r="K262" s="43"/>
    </row>
    <row r="263" ht="22.5" customHeight="1">
      <c r="B263" s="19"/>
      <c r="C263" s="19"/>
      <c r="E263" s="20"/>
      <c r="F263" s="21"/>
      <c r="G263" s="42"/>
      <c r="H263" s="42"/>
      <c r="I263" s="22"/>
      <c r="K263" s="43"/>
    </row>
    <row r="264" ht="22.5" customHeight="1">
      <c r="B264" s="19"/>
      <c r="C264" s="19"/>
      <c r="E264" s="20"/>
      <c r="F264" s="21"/>
      <c r="G264" s="42"/>
      <c r="H264" s="42"/>
      <c r="I264" s="22"/>
      <c r="K264" s="43"/>
    </row>
    <row r="265" ht="22.5" customHeight="1">
      <c r="B265" s="19"/>
      <c r="C265" s="19"/>
      <c r="E265" s="20"/>
      <c r="F265" s="21"/>
      <c r="G265" s="42"/>
      <c r="H265" s="42"/>
      <c r="I265" s="22"/>
      <c r="K265" s="43"/>
    </row>
    <row r="266" ht="22.5" customHeight="1">
      <c r="B266" s="19"/>
      <c r="C266" s="19"/>
      <c r="E266" s="20"/>
      <c r="F266" s="21"/>
      <c r="G266" s="42"/>
      <c r="H266" s="42"/>
      <c r="I266" s="22"/>
      <c r="K266" s="43"/>
    </row>
    <row r="267" ht="22.5" customHeight="1">
      <c r="B267" s="19"/>
      <c r="C267" s="19"/>
      <c r="E267" s="20"/>
      <c r="F267" s="21"/>
      <c r="G267" s="42"/>
      <c r="H267" s="42"/>
      <c r="I267" s="22"/>
      <c r="K267" s="43"/>
    </row>
    <row r="268" ht="22.5" customHeight="1">
      <c r="B268" s="19"/>
      <c r="C268" s="19"/>
      <c r="E268" s="20"/>
      <c r="F268" s="21"/>
      <c r="G268" s="42"/>
      <c r="H268" s="42"/>
      <c r="I268" s="22"/>
      <c r="K268" s="43"/>
    </row>
    <row r="269" ht="22.5" customHeight="1">
      <c r="B269" s="19"/>
      <c r="C269" s="19"/>
      <c r="E269" s="20"/>
      <c r="F269" s="21"/>
      <c r="G269" s="42"/>
      <c r="H269" s="42"/>
      <c r="I269" s="22"/>
      <c r="K269" s="43"/>
    </row>
    <row r="270" ht="22.5" customHeight="1">
      <c r="B270" s="19"/>
      <c r="C270" s="19"/>
      <c r="E270" s="20"/>
      <c r="F270" s="21"/>
      <c r="G270" s="42"/>
      <c r="H270" s="42"/>
      <c r="I270" s="22"/>
      <c r="K270" s="43"/>
    </row>
    <row r="271" ht="22.5" customHeight="1">
      <c r="B271" s="19"/>
      <c r="C271" s="19"/>
      <c r="E271" s="20"/>
      <c r="F271" s="21"/>
      <c r="G271" s="42"/>
      <c r="H271" s="42"/>
      <c r="I271" s="22"/>
      <c r="K271" s="43"/>
    </row>
    <row r="272" ht="22.5" customHeight="1">
      <c r="B272" s="19"/>
      <c r="C272" s="19"/>
      <c r="E272" s="20"/>
      <c r="F272" s="21"/>
      <c r="G272" s="42"/>
      <c r="H272" s="42"/>
      <c r="I272" s="22"/>
      <c r="K272" s="43"/>
    </row>
    <row r="273" ht="22.5" customHeight="1">
      <c r="B273" s="19"/>
      <c r="C273" s="19"/>
      <c r="E273" s="20"/>
      <c r="F273" s="21"/>
      <c r="G273" s="42"/>
      <c r="H273" s="42"/>
      <c r="I273" s="22"/>
      <c r="K273" s="43"/>
    </row>
    <row r="274" ht="22.5" customHeight="1">
      <c r="B274" s="19"/>
      <c r="C274" s="19"/>
      <c r="E274" s="20"/>
      <c r="F274" s="21"/>
      <c r="G274" s="42"/>
      <c r="H274" s="42"/>
      <c r="I274" s="22"/>
      <c r="K274" s="43"/>
    </row>
    <row r="275" ht="22.5" customHeight="1">
      <c r="B275" s="19"/>
      <c r="C275" s="19"/>
      <c r="E275" s="20"/>
      <c r="F275" s="21"/>
      <c r="G275" s="42"/>
      <c r="H275" s="42"/>
      <c r="I275" s="22"/>
      <c r="K275" s="43"/>
    </row>
    <row r="276" ht="22.5" customHeight="1">
      <c r="B276" s="19"/>
      <c r="C276" s="19"/>
      <c r="E276" s="20"/>
      <c r="F276" s="21"/>
      <c r="G276" s="42"/>
      <c r="H276" s="42"/>
      <c r="I276" s="22"/>
      <c r="K276" s="43"/>
    </row>
    <row r="277" ht="22.5" customHeight="1">
      <c r="B277" s="19"/>
      <c r="C277" s="19"/>
      <c r="E277" s="20"/>
      <c r="F277" s="21"/>
      <c r="G277" s="42"/>
      <c r="H277" s="42"/>
      <c r="I277" s="22"/>
      <c r="K277" s="43"/>
    </row>
    <row r="278" ht="22.5" customHeight="1">
      <c r="B278" s="19"/>
      <c r="C278" s="19"/>
      <c r="E278" s="20"/>
      <c r="F278" s="21"/>
      <c r="G278" s="42"/>
      <c r="H278" s="42"/>
      <c r="I278" s="22"/>
      <c r="K278" s="43"/>
    </row>
    <row r="279" ht="22.5" customHeight="1">
      <c r="B279" s="19"/>
      <c r="C279" s="19"/>
      <c r="E279" s="20"/>
      <c r="F279" s="21"/>
      <c r="G279" s="42"/>
      <c r="H279" s="42"/>
      <c r="I279" s="22"/>
      <c r="K279" s="43"/>
    </row>
    <row r="280" ht="22.5" customHeight="1">
      <c r="B280" s="19"/>
      <c r="C280" s="19"/>
      <c r="E280" s="20"/>
      <c r="F280" s="21"/>
      <c r="G280" s="42"/>
      <c r="H280" s="42"/>
      <c r="I280" s="22"/>
      <c r="K280" s="43"/>
    </row>
    <row r="281" ht="22.5" customHeight="1">
      <c r="B281" s="19"/>
      <c r="C281" s="19"/>
      <c r="E281" s="20"/>
      <c r="F281" s="21"/>
      <c r="G281" s="42"/>
      <c r="H281" s="42"/>
      <c r="I281" s="22"/>
      <c r="K281" s="43"/>
    </row>
    <row r="282" ht="22.5" customHeight="1">
      <c r="B282" s="19"/>
      <c r="C282" s="19"/>
      <c r="E282" s="20"/>
      <c r="F282" s="21"/>
      <c r="G282" s="42"/>
      <c r="H282" s="42"/>
      <c r="I282" s="22"/>
      <c r="K282" s="43"/>
    </row>
    <row r="283" ht="22.5" customHeight="1">
      <c r="B283" s="19"/>
      <c r="C283" s="19"/>
      <c r="E283" s="20"/>
      <c r="F283" s="21"/>
      <c r="G283" s="42"/>
      <c r="H283" s="42"/>
      <c r="I283" s="22"/>
      <c r="K283" s="43"/>
    </row>
    <row r="284" ht="22.5" customHeight="1">
      <c r="B284" s="19"/>
      <c r="C284" s="19"/>
      <c r="E284" s="20"/>
      <c r="F284" s="21"/>
      <c r="G284" s="42"/>
      <c r="H284" s="42"/>
      <c r="I284" s="22"/>
      <c r="K284" s="43"/>
    </row>
    <row r="285" ht="22.5" customHeight="1">
      <c r="B285" s="19"/>
      <c r="C285" s="19"/>
      <c r="E285" s="20"/>
      <c r="F285" s="21"/>
      <c r="G285" s="42"/>
      <c r="H285" s="42"/>
      <c r="I285" s="22"/>
      <c r="K285" s="43"/>
    </row>
    <row r="286" ht="22.5" customHeight="1">
      <c r="B286" s="19"/>
      <c r="C286" s="19"/>
      <c r="E286" s="20"/>
      <c r="F286" s="21"/>
      <c r="G286" s="42"/>
      <c r="H286" s="42"/>
      <c r="I286" s="22"/>
      <c r="K286" s="43"/>
    </row>
    <row r="287" ht="22.5" customHeight="1">
      <c r="B287" s="19"/>
      <c r="C287" s="19"/>
      <c r="E287" s="20"/>
      <c r="F287" s="21"/>
      <c r="G287" s="42"/>
      <c r="H287" s="42"/>
      <c r="I287" s="22"/>
      <c r="K287" s="43"/>
    </row>
    <row r="288" ht="22.5" customHeight="1">
      <c r="B288" s="19"/>
      <c r="C288" s="19"/>
      <c r="E288" s="20"/>
      <c r="F288" s="21"/>
      <c r="G288" s="42"/>
      <c r="H288" s="42"/>
      <c r="I288" s="22"/>
      <c r="K288" s="43"/>
    </row>
    <row r="289" ht="22.5" customHeight="1">
      <c r="B289" s="19"/>
      <c r="C289" s="19"/>
      <c r="E289" s="20"/>
      <c r="F289" s="21"/>
      <c r="G289" s="42"/>
      <c r="H289" s="42"/>
      <c r="I289" s="22"/>
      <c r="K289" s="43"/>
    </row>
    <row r="290" ht="22.5" customHeight="1">
      <c r="B290" s="19"/>
      <c r="C290" s="19"/>
      <c r="E290" s="20"/>
      <c r="F290" s="21"/>
      <c r="G290" s="42"/>
      <c r="H290" s="42"/>
      <c r="I290" s="22"/>
      <c r="K290" s="43"/>
    </row>
    <row r="291" ht="22.5" customHeight="1">
      <c r="B291" s="19"/>
      <c r="C291" s="19"/>
      <c r="E291" s="20"/>
      <c r="F291" s="21"/>
      <c r="G291" s="42"/>
      <c r="H291" s="42"/>
      <c r="I291" s="22"/>
      <c r="K291" s="43"/>
    </row>
    <row r="292" ht="22.5" customHeight="1">
      <c r="B292" s="19"/>
      <c r="C292" s="19"/>
      <c r="E292" s="20"/>
      <c r="F292" s="21"/>
      <c r="G292" s="42"/>
      <c r="H292" s="42"/>
      <c r="I292" s="22"/>
      <c r="K292" s="43"/>
    </row>
    <row r="293" ht="22.5" customHeight="1">
      <c r="B293" s="19"/>
      <c r="C293" s="19"/>
      <c r="E293" s="20"/>
      <c r="F293" s="21"/>
      <c r="G293" s="42"/>
      <c r="H293" s="42"/>
      <c r="I293" s="22"/>
      <c r="K293" s="43"/>
    </row>
    <row r="294" ht="22.5" customHeight="1">
      <c r="B294" s="19"/>
      <c r="C294" s="19"/>
      <c r="E294" s="20"/>
      <c r="F294" s="21"/>
      <c r="G294" s="42"/>
      <c r="H294" s="42"/>
      <c r="I294" s="22"/>
      <c r="K294" s="43"/>
    </row>
    <row r="295" ht="22.5" customHeight="1">
      <c r="B295" s="19"/>
      <c r="C295" s="19"/>
      <c r="E295" s="20"/>
      <c r="F295" s="21"/>
      <c r="G295" s="42"/>
      <c r="H295" s="42"/>
      <c r="I295" s="22"/>
      <c r="K295" s="43"/>
    </row>
    <row r="296" ht="22.5" customHeight="1">
      <c r="B296" s="19"/>
      <c r="C296" s="19"/>
      <c r="E296" s="20"/>
      <c r="F296" s="21"/>
      <c r="G296" s="42"/>
      <c r="H296" s="42"/>
      <c r="I296" s="22"/>
      <c r="K296" s="43"/>
    </row>
    <row r="297" ht="22.5" customHeight="1">
      <c r="B297" s="19"/>
      <c r="C297" s="19"/>
      <c r="E297" s="20"/>
      <c r="F297" s="21"/>
      <c r="G297" s="42"/>
      <c r="H297" s="42"/>
      <c r="I297" s="22"/>
      <c r="K297" s="43"/>
    </row>
    <row r="298" ht="22.5" customHeight="1">
      <c r="B298" s="19"/>
      <c r="C298" s="19"/>
      <c r="E298" s="20"/>
      <c r="F298" s="21"/>
      <c r="G298" s="42"/>
      <c r="H298" s="42"/>
      <c r="I298" s="22"/>
      <c r="K298" s="43"/>
    </row>
    <row r="299" ht="22.5" customHeight="1">
      <c r="B299" s="19"/>
      <c r="C299" s="19"/>
      <c r="E299" s="20"/>
      <c r="F299" s="21"/>
      <c r="G299" s="42"/>
      <c r="H299" s="42"/>
      <c r="I299" s="22"/>
      <c r="K299" s="43"/>
    </row>
    <row r="300" ht="22.5" customHeight="1">
      <c r="B300" s="19"/>
      <c r="C300" s="19"/>
      <c r="E300" s="20"/>
      <c r="F300" s="21"/>
      <c r="G300" s="42"/>
      <c r="H300" s="42"/>
      <c r="I300" s="22"/>
      <c r="K300" s="43"/>
    </row>
    <row r="301" ht="22.5" customHeight="1">
      <c r="B301" s="19"/>
      <c r="C301" s="19"/>
      <c r="E301" s="20"/>
      <c r="F301" s="21"/>
      <c r="G301" s="42"/>
      <c r="H301" s="42"/>
      <c r="I301" s="22"/>
      <c r="K301" s="43"/>
    </row>
    <row r="302" ht="22.5" customHeight="1">
      <c r="B302" s="19"/>
      <c r="C302" s="19"/>
      <c r="E302" s="20"/>
      <c r="F302" s="21"/>
      <c r="G302" s="42"/>
      <c r="H302" s="42"/>
      <c r="I302" s="22"/>
      <c r="K302" s="43"/>
    </row>
    <row r="303" ht="22.5" customHeight="1">
      <c r="B303" s="19"/>
      <c r="C303" s="19"/>
      <c r="E303" s="20"/>
      <c r="F303" s="21"/>
      <c r="G303" s="42"/>
      <c r="H303" s="42"/>
      <c r="I303" s="22"/>
      <c r="K303" s="43"/>
    </row>
    <row r="304" ht="22.5" customHeight="1">
      <c r="B304" s="19"/>
      <c r="C304" s="19"/>
      <c r="E304" s="20"/>
      <c r="F304" s="21"/>
      <c r="G304" s="42"/>
      <c r="H304" s="42"/>
      <c r="I304" s="22"/>
      <c r="K304" s="43"/>
    </row>
    <row r="305" ht="22.5" customHeight="1">
      <c r="B305" s="19"/>
      <c r="C305" s="19"/>
      <c r="E305" s="20"/>
      <c r="F305" s="21"/>
      <c r="G305" s="42"/>
      <c r="H305" s="42"/>
      <c r="I305" s="22"/>
      <c r="K305" s="43"/>
    </row>
    <row r="306" ht="22.5" customHeight="1">
      <c r="B306" s="19"/>
      <c r="C306" s="19"/>
      <c r="E306" s="20"/>
      <c r="F306" s="21"/>
      <c r="G306" s="42"/>
      <c r="H306" s="42"/>
      <c r="I306" s="22"/>
      <c r="K306" s="43"/>
    </row>
    <row r="307" ht="22.5" customHeight="1">
      <c r="B307" s="19"/>
      <c r="C307" s="19"/>
      <c r="E307" s="20"/>
      <c r="F307" s="21"/>
      <c r="G307" s="42"/>
      <c r="H307" s="42"/>
      <c r="I307" s="22"/>
      <c r="K307" s="43"/>
    </row>
    <row r="308" ht="22.5" customHeight="1">
      <c r="B308" s="19"/>
      <c r="C308" s="19"/>
      <c r="E308" s="20"/>
      <c r="F308" s="21"/>
      <c r="G308" s="42"/>
      <c r="H308" s="42"/>
      <c r="I308" s="22"/>
      <c r="K308" s="43"/>
    </row>
    <row r="309" ht="22.5" customHeight="1">
      <c r="B309" s="19"/>
      <c r="C309" s="19"/>
      <c r="E309" s="20"/>
      <c r="F309" s="21"/>
      <c r="G309" s="42"/>
      <c r="H309" s="42"/>
      <c r="I309" s="22"/>
      <c r="K309" s="43"/>
    </row>
    <row r="310" ht="22.5" customHeight="1">
      <c r="B310" s="19"/>
      <c r="C310" s="19"/>
      <c r="E310" s="20"/>
      <c r="F310" s="21"/>
      <c r="G310" s="42"/>
      <c r="H310" s="42"/>
      <c r="I310" s="22"/>
      <c r="K310" s="43"/>
    </row>
    <row r="311" ht="22.5" customHeight="1">
      <c r="B311" s="19"/>
      <c r="C311" s="19"/>
      <c r="E311" s="20"/>
      <c r="F311" s="21"/>
      <c r="G311" s="42"/>
      <c r="H311" s="42"/>
      <c r="I311" s="22"/>
      <c r="K311" s="43"/>
    </row>
    <row r="312" ht="22.5" customHeight="1">
      <c r="B312" s="19"/>
      <c r="C312" s="19"/>
      <c r="E312" s="20"/>
      <c r="F312" s="21"/>
      <c r="G312" s="42"/>
      <c r="H312" s="42"/>
      <c r="I312" s="22"/>
      <c r="K312" s="43"/>
    </row>
    <row r="313" ht="22.5" customHeight="1">
      <c r="B313" s="19"/>
      <c r="C313" s="19"/>
      <c r="E313" s="20"/>
      <c r="F313" s="21"/>
      <c r="G313" s="42"/>
      <c r="H313" s="42"/>
      <c r="I313" s="22"/>
      <c r="K313" s="43"/>
    </row>
    <row r="314" ht="22.5" customHeight="1">
      <c r="B314" s="19"/>
      <c r="C314" s="19"/>
      <c r="E314" s="20"/>
      <c r="F314" s="21"/>
      <c r="G314" s="42"/>
      <c r="H314" s="42"/>
      <c r="I314" s="22"/>
      <c r="K314" s="43"/>
    </row>
    <row r="315" ht="22.5" customHeight="1">
      <c r="B315" s="19"/>
      <c r="C315" s="19"/>
      <c r="E315" s="20"/>
      <c r="F315" s="21"/>
      <c r="G315" s="42"/>
      <c r="H315" s="42"/>
      <c r="I315" s="22"/>
      <c r="K315" s="43"/>
    </row>
    <row r="316" ht="22.5" customHeight="1">
      <c r="B316" s="19"/>
      <c r="C316" s="19"/>
      <c r="E316" s="20"/>
      <c r="F316" s="21"/>
      <c r="G316" s="42"/>
      <c r="H316" s="42"/>
      <c r="I316" s="22"/>
      <c r="K316" s="43"/>
    </row>
    <row r="317" ht="22.5" customHeight="1">
      <c r="B317" s="19"/>
      <c r="C317" s="19"/>
      <c r="E317" s="20"/>
      <c r="F317" s="21"/>
      <c r="G317" s="42"/>
      <c r="H317" s="42"/>
      <c r="I317" s="22"/>
      <c r="K317" s="43"/>
    </row>
    <row r="318" ht="22.5" customHeight="1">
      <c r="B318" s="19"/>
      <c r="C318" s="19"/>
      <c r="E318" s="20"/>
      <c r="F318" s="21"/>
      <c r="G318" s="42"/>
      <c r="H318" s="42"/>
      <c r="I318" s="22"/>
      <c r="K318" s="43"/>
    </row>
    <row r="319" ht="22.5" customHeight="1">
      <c r="B319" s="19"/>
      <c r="C319" s="19"/>
      <c r="E319" s="20"/>
      <c r="F319" s="21"/>
      <c r="G319" s="42"/>
      <c r="H319" s="42"/>
      <c r="I319" s="22"/>
      <c r="K319" s="43"/>
    </row>
    <row r="320" ht="22.5" customHeight="1">
      <c r="B320" s="19"/>
      <c r="C320" s="19"/>
      <c r="E320" s="20"/>
      <c r="F320" s="21"/>
      <c r="G320" s="42"/>
      <c r="H320" s="42"/>
      <c r="I320" s="22"/>
      <c r="K320" s="43"/>
    </row>
    <row r="321" ht="22.5" customHeight="1">
      <c r="B321" s="19"/>
      <c r="C321" s="19"/>
      <c r="E321" s="20"/>
      <c r="F321" s="21"/>
      <c r="G321" s="42"/>
      <c r="H321" s="42"/>
      <c r="I321" s="22"/>
      <c r="K321" s="43"/>
    </row>
    <row r="322" ht="22.5" customHeight="1">
      <c r="B322" s="19"/>
      <c r="C322" s="19"/>
      <c r="E322" s="20"/>
      <c r="F322" s="21"/>
      <c r="G322" s="42"/>
      <c r="H322" s="42"/>
      <c r="I322" s="22"/>
      <c r="K322" s="43"/>
    </row>
    <row r="323" ht="22.5" customHeight="1">
      <c r="B323" s="19"/>
      <c r="C323" s="19"/>
      <c r="E323" s="20"/>
      <c r="F323" s="21"/>
      <c r="G323" s="42"/>
      <c r="H323" s="42"/>
      <c r="I323" s="22"/>
      <c r="K323" s="43"/>
    </row>
    <row r="324" ht="22.5" customHeight="1">
      <c r="B324" s="19"/>
      <c r="C324" s="19"/>
      <c r="E324" s="20"/>
      <c r="F324" s="21"/>
      <c r="G324" s="42"/>
      <c r="H324" s="42"/>
      <c r="I324" s="22"/>
      <c r="K324" s="43"/>
    </row>
    <row r="325" ht="22.5" customHeight="1">
      <c r="B325" s="19"/>
      <c r="C325" s="19"/>
      <c r="E325" s="20"/>
      <c r="F325" s="21"/>
      <c r="G325" s="42"/>
      <c r="H325" s="42"/>
      <c r="I325" s="22"/>
      <c r="K325" s="43"/>
    </row>
    <row r="326" ht="22.5" customHeight="1">
      <c r="B326" s="19"/>
      <c r="C326" s="19"/>
      <c r="E326" s="20"/>
      <c r="F326" s="21"/>
      <c r="G326" s="42"/>
      <c r="H326" s="42"/>
      <c r="I326" s="22"/>
      <c r="K326" s="43"/>
    </row>
    <row r="327" ht="22.5" customHeight="1">
      <c r="B327" s="19"/>
      <c r="C327" s="19"/>
      <c r="E327" s="20"/>
      <c r="F327" s="21"/>
      <c r="G327" s="42"/>
      <c r="H327" s="42"/>
      <c r="I327" s="22"/>
      <c r="K327" s="43"/>
    </row>
    <row r="328" ht="22.5" customHeight="1">
      <c r="B328" s="19"/>
      <c r="C328" s="19"/>
      <c r="E328" s="20"/>
      <c r="F328" s="21"/>
      <c r="G328" s="42"/>
      <c r="H328" s="42"/>
      <c r="I328" s="22"/>
      <c r="K328" s="43"/>
    </row>
    <row r="329" ht="22.5" customHeight="1">
      <c r="B329" s="19"/>
      <c r="C329" s="19"/>
      <c r="E329" s="20"/>
      <c r="F329" s="21"/>
      <c r="G329" s="42"/>
      <c r="H329" s="42"/>
      <c r="I329" s="22"/>
      <c r="K329" s="43"/>
    </row>
    <row r="330" ht="22.5" customHeight="1">
      <c r="B330" s="19"/>
      <c r="C330" s="19"/>
      <c r="E330" s="20"/>
      <c r="F330" s="21"/>
      <c r="G330" s="42"/>
      <c r="H330" s="42"/>
      <c r="I330" s="22"/>
      <c r="K330" s="43"/>
    </row>
    <row r="331" ht="22.5" customHeight="1">
      <c r="B331" s="19"/>
      <c r="C331" s="19"/>
      <c r="E331" s="20"/>
      <c r="F331" s="21"/>
      <c r="G331" s="42"/>
      <c r="H331" s="42"/>
      <c r="I331" s="22"/>
      <c r="K331" s="43"/>
    </row>
    <row r="332" ht="22.5" customHeight="1">
      <c r="B332" s="19"/>
      <c r="C332" s="19"/>
      <c r="E332" s="20"/>
      <c r="F332" s="21"/>
      <c r="G332" s="42"/>
      <c r="H332" s="42"/>
      <c r="I332" s="22"/>
      <c r="K332" s="43"/>
    </row>
    <row r="333" ht="22.5" customHeight="1">
      <c r="B333" s="19"/>
      <c r="C333" s="19"/>
      <c r="E333" s="20"/>
      <c r="F333" s="21"/>
      <c r="G333" s="42"/>
      <c r="H333" s="42"/>
      <c r="I333" s="22"/>
      <c r="K333" s="43"/>
    </row>
    <row r="334" ht="22.5" customHeight="1">
      <c r="B334" s="19"/>
      <c r="C334" s="19"/>
      <c r="E334" s="20"/>
      <c r="F334" s="21"/>
      <c r="G334" s="42"/>
      <c r="H334" s="42"/>
      <c r="I334" s="22"/>
      <c r="K334" s="43"/>
    </row>
    <row r="335" ht="22.5" customHeight="1">
      <c r="B335" s="19"/>
      <c r="C335" s="19"/>
      <c r="E335" s="20"/>
      <c r="F335" s="21"/>
      <c r="G335" s="42"/>
      <c r="H335" s="42"/>
      <c r="I335" s="22"/>
      <c r="K335" s="43"/>
    </row>
    <row r="336" ht="22.5" customHeight="1">
      <c r="B336" s="19"/>
      <c r="C336" s="19"/>
      <c r="E336" s="20"/>
      <c r="F336" s="21"/>
      <c r="G336" s="42"/>
      <c r="H336" s="42"/>
      <c r="I336" s="22"/>
      <c r="K336" s="43"/>
    </row>
    <row r="337" ht="22.5" customHeight="1">
      <c r="B337" s="19"/>
      <c r="C337" s="19"/>
      <c r="E337" s="20"/>
      <c r="F337" s="21"/>
      <c r="G337" s="42"/>
      <c r="H337" s="42"/>
      <c r="I337" s="22"/>
      <c r="K337" s="43"/>
    </row>
    <row r="338" ht="22.5" customHeight="1">
      <c r="B338" s="19"/>
      <c r="C338" s="19"/>
      <c r="E338" s="20"/>
      <c r="F338" s="21"/>
      <c r="G338" s="42"/>
      <c r="H338" s="42"/>
      <c r="I338" s="22"/>
      <c r="K338" s="43"/>
    </row>
    <row r="339" ht="22.5" customHeight="1">
      <c r="B339" s="19"/>
      <c r="C339" s="19"/>
      <c r="E339" s="20"/>
      <c r="F339" s="21"/>
      <c r="G339" s="42"/>
      <c r="H339" s="42"/>
      <c r="I339" s="22"/>
      <c r="K339" s="43"/>
    </row>
    <row r="340" ht="22.5" customHeight="1">
      <c r="B340" s="19"/>
      <c r="C340" s="19"/>
      <c r="E340" s="20"/>
      <c r="F340" s="21"/>
      <c r="G340" s="42"/>
      <c r="H340" s="42"/>
      <c r="I340" s="22"/>
      <c r="K340" s="43"/>
    </row>
    <row r="341" ht="22.5" customHeight="1">
      <c r="B341" s="19"/>
      <c r="C341" s="19"/>
      <c r="E341" s="20"/>
      <c r="F341" s="21"/>
      <c r="G341" s="42"/>
      <c r="H341" s="42"/>
      <c r="I341" s="22"/>
      <c r="K341" s="43"/>
    </row>
    <row r="342" ht="22.5" customHeight="1">
      <c r="B342" s="19"/>
      <c r="C342" s="19"/>
      <c r="E342" s="20"/>
      <c r="F342" s="21"/>
      <c r="G342" s="42"/>
      <c r="H342" s="42"/>
      <c r="I342" s="22"/>
      <c r="K342" s="43"/>
    </row>
    <row r="343" ht="22.5" customHeight="1">
      <c r="B343" s="19"/>
      <c r="C343" s="19"/>
      <c r="E343" s="20"/>
      <c r="F343" s="21"/>
      <c r="G343" s="42"/>
      <c r="H343" s="42"/>
      <c r="I343" s="22"/>
      <c r="K343" s="43"/>
    </row>
    <row r="344" ht="22.5" customHeight="1">
      <c r="B344" s="19"/>
      <c r="C344" s="19"/>
      <c r="E344" s="20"/>
      <c r="F344" s="21"/>
      <c r="G344" s="42"/>
      <c r="H344" s="42"/>
      <c r="I344" s="22"/>
      <c r="K344" s="43"/>
    </row>
    <row r="345" ht="22.5" customHeight="1">
      <c r="B345" s="19"/>
      <c r="C345" s="19"/>
      <c r="E345" s="20"/>
      <c r="F345" s="21"/>
      <c r="G345" s="42"/>
      <c r="H345" s="42"/>
      <c r="I345" s="22"/>
      <c r="K345" s="43"/>
    </row>
    <row r="346" ht="22.5" customHeight="1">
      <c r="B346" s="19"/>
      <c r="C346" s="19"/>
      <c r="E346" s="20"/>
      <c r="F346" s="21"/>
      <c r="G346" s="42"/>
      <c r="H346" s="42"/>
      <c r="I346" s="22"/>
      <c r="K346" s="43"/>
    </row>
    <row r="347" ht="22.5" customHeight="1">
      <c r="B347" s="19"/>
      <c r="C347" s="19"/>
      <c r="E347" s="20"/>
      <c r="F347" s="21"/>
      <c r="G347" s="42"/>
      <c r="H347" s="42"/>
      <c r="I347" s="22"/>
      <c r="K347" s="43"/>
    </row>
    <row r="348" ht="22.5" customHeight="1">
      <c r="B348" s="19"/>
      <c r="C348" s="19"/>
      <c r="E348" s="20"/>
      <c r="F348" s="21"/>
      <c r="G348" s="42"/>
      <c r="H348" s="42"/>
      <c r="I348" s="22"/>
      <c r="K348" s="43"/>
    </row>
    <row r="349" ht="22.5" customHeight="1">
      <c r="B349" s="19"/>
      <c r="C349" s="19"/>
      <c r="E349" s="20"/>
      <c r="F349" s="21"/>
      <c r="G349" s="42"/>
      <c r="H349" s="42"/>
      <c r="I349" s="22"/>
      <c r="K349" s="43"/>
    </row>
    <row r="350" ht="22.5" customHeight="1">
      <c r="B350" s="19"/>
      <c r="C350" s="19"/>
      <c r="E350" s="20"/>
      <c r="F350" s="21"/>
      <c r="G350" s="42"/>
      <c r="H350" s="42"/>
      <c r="I350" s="22"/>
      <c r="K350" s="43"/>
    </row>
    <row r="351" ht="22.5" customHeight="1">
      <c r="B351" s="19"/>
      <c r="C351" s="19"/>
      <c r="E351" s="20"/>
      <c r="F351" s="21"/>
      <c r="G351" s="42"/>
      <c r="H351" s="42"/>
      <c r="I351" s="22"/>
      <c r="K351" s="43"/>
    </row>
    <row r="352" ht="22.5" customHeight="1">
      <c r="B352" s="19"/>
      <c r="C352" s="19"/>
      <c r="E352" s="20"/>
      <c r="F352" s="21"/>
      <c r="G352" s="42"/>
      <c r="H352" s="42"/>
      <c r="I352" s="22"/>
      <c r="K352" s="43"/>
    </row>
    <row r="353" ht="22.5" customHeight="1">
      <c r="B353" s="19"/>
      <c r="C353" s="19"/>
      <c r="E353" s="20"/>
      <c r="F353" s="21"/>
      <c r="G353" s="42"/>
      <c r="H353" s="42"/>
      <c r="I353" s="22"/>
      <c r="K353" s="43"/>
    </row>
    <row r="354" ht="22.5" customHeight="1">
      <c r="B354" s="19"/>
      <c r="C354" s="19"/>
      <c r="E354" s="20"/>
      <c r="F354" s="21"/>
      <c r="G354" s="42"/>
      <c r="H354" s="42"/>
      <c r="I354" s="22"/>
      <c r="K354" s="43"/>
    </row>
    <row r="355" ht="22.5" customHeight="1">
      <c r="B355" s="19"/>
      <c r="C355" s="19"/>
      <c r="E355" s="20"/>
      <c r="F355" s="21"/>
      <c r="G355" s="42"/>
      <c r="H355" s="42"/>
      <c r="I355" s="22"/>
      <c r="K355" s="43"/>
    </row>
    <row r="356" ht="22.5" customHeight="1">
      <c r="B356" s="19"/>
      <c r="C356" s="19"/>
      <c r="E356" s="20"/>
      <c r="F356" s="21"/>
      <c r="G356" s="42"/>
      <c r="H356" s="42"/>
      <c r="I356" s="22"/>
      <c r="K356" s="43"/>
    </row>
    <row r="357" ht="22.5" customHeight="1">
      <c r="B357" s="19"/>
      <c r="C357" s="19"/>
      <c r="E357" s="20"/>
      <c r="F357" s="21"/>
      <c r="G357" s="42"/>
      <c r="H357" s="42"/>
      <c r="I357" s="22"/>
      <c r="K357" s="43"/>
    </row>
    <row r="358" ht="22.5" customHeight="1">
      <c r="B358" s="19"/>
      <c r="C358" s="19"/>
      <c r="E358" s="20"/>
      <c r="F358" s="21"/>
      <c r="G358" s="42"/>
      <c r="H358" s="42"/>
      <c r="I358" s="22"/>
      <c r="K358" s="43"/>
    </row>
    <row r="359" ht="22.5" customHeight="1">
      <c r="B359" s="19"/>
      <c r="C359" s="19"/>
      <c r="E359" s="20"/>
      <c r="F359" s="21"/>
      <c r="G359" s="42"/>
      <c r="H359" s="42"/>
      <c r="I359" s="22"/>
      <c r="K359" s="43"/>
    </row>
    <row r="360" ht="22.5" customHeight="1">
      <c r="B360" s="19"/>
      <c r="C360" s="19"/>
      <c r="E360" s="20"/>
      <c r="F360" s="21"/>
      <c r="G360" s="42"/>
      <c r="H360" s="42"/>
      <c r="I360" s="22"/>
      <c r="K360" s="43"/>
    </row>
    <row r="361" ht="22.5" customHeight="1">
      <c r="B361" s="19"/>
      <c r="C361" s="19"/>
      <c r="E361" s="20"/>
      <c r="F361" s="21"/>
      <c r="G361" s="42"/>
      <c r="H361" s="42"/>
      <c r="I361" s="22"/>
      <c r="K361" s="43"/>
    </row>
    <row r="362" ht="22.5" customHeight="1">
      <c r="B362" s="19"/>
      <c r="C362" s="19"/>
      <c r="E362" s="20"/>
      <c r="F362" s="21"/>
      <c r="G362" s="42"/>
      <c r="H362" s="42"/>
      <c r="I362" s="22"/>
      <c r="K362" s="43"/>
    </row>
    <row r="363" ht="22.5" customHeight="1">
      <c r="B363" s="19"/>
      <c r="C363" s="19"/>
      <c r="E363" s="20"/>
      <c r="F363" s="21"/>
      <c r="G363" s="42"/>
      <c r="H363" s="42"/>
      <c r="I363" s="22"/>
      <c r="K363" s="43"/>
    </row>
    <row r="364" ht="22.5" customHeight="1">
      <c r="B364" s="19"/>
      <c r="C364" s="19"/>
      <c r="E364" s="20"/>
      <c r="F364" s="21"/>
      <c r="G364" s="42"/>
      <c r="H364" s="42"/>
      <c r="I364" s="22"/>
      <c r="K364" s="43"/>
    </row>
    <row r="365" ht="22.5" customHeight="1">
      <c r="B365" s="19"/>
      <c r="C365" s="19"/>
      <c r="E365" s="20"/>
      <c r="F365" s="21"/>
      <c r="G365" s="42"/>
      <c r="H365" s="42"/>
      <c r="I365" s="22"/>
      <c r="K365" s="43"/>
    </row>
    <row r="366" ht="22.5" customHeight="1">
      <c r="B366" s="19"/>
      <c r="C366" s="19"/>
      <c r="E366" s="20"/>
      <c r="F366" s="21"/>
      <c r="G366" s="42"/>
      <c r="H366" s="42"/>
      <c r="I366" s="22"/>
      <c r="K366" s="43"/>
    </row>
    <row r="367" ht="22.5" customHeight="1">
      <c r="B367" s="19"/>
      <c r="C367" s="19"/>
      <c r="E367" s="20"/>
      <c r="F367" s="21"/>
      <c r="G367" s="42"/>
      <c r="H367" s="42"/>
      <c r="I367" s="22"/>
      <c r="K367" s="43"/>
    </row>
    <row r="368" ht="22.5" customHeight="1">
      <c r="B368" s="19"/>
      <c r="C368" s="19"/>
      <c r="E368" s="20"/>
      <c r="F368" s="21"/>
      <c r="G368" s="42"/>
      <c r="H368" s="42"/>
      <c r="I368" s="22"/>
      <c r="K368" s="43"/>
    </row>
    <row r="369" ht="22.5" customHeight="1">
      <c r="B369" s="19"/>
      <c r="C369" s="19"/>
      <c r="E369" s="20"/>
      <c r="F369" s="21"/>
      <c r="G369" s="42"/>
      <c r="H369" s="42"/>
      <c r="I369" s="22"/>
      <c r="K369" s="43"/>
    </row>
    <row r="370" ht="22.5" customHeight="1">
      <c r="B370" s="19"/>
      <c r="C370" s="19"/>
      <c r="E370" s="20"/>
      <c r="F370" s="21"/>
      <c r="G370" s="42"/>
      <c r="H370" s="42"/>
      <c r="I370" s="22"/>
      <c r="K370" s="43"/>
    </row>
    <row r="371" ht="22.5" customHeight="1">
      <c r="B371" s="19"/>
      <c r="C371" s="19"/>
      <c r="E371" s="20"/>
      <c r="F371" s="21"/>
      <c r="G371" s="42"/>
      <c r="H371" s="42"/>
      <c r="I371" s="22"/>
      <c r="K371" s="43"/>
    </row>
    <row r="372" ht="22.5" customHeight="1">
      <c r="B372" s="19"/>
      <c r="C372" s="19"/>
      <c r="E372" s="20"/>
      <c r="F372" s="21"/>
      <c r="G372" s="42"/>
      <c r="H372" s="42"/>
      <c r="I372" s="22"/>
      <c r="K372" s="43"/>
    </row>
    <row r="373" ht="22.5" customHeight="1">
      <c r="B373" s="19"/>
      <c r="C373" s="19"/>
      <c r="E373" s="20"/>
      <c r="F373" s="21"/>
      <c r="G373" s="42"/>
      <c r="H373" s="42"/>
      <c r="I373" s="22"/>
      <c r="K373" s="43"/>
    </row>
    <row r="374" ht="22.5" customHeight="1">
      <c r="B374" s="19"/>
      <c r="C374" s="19"/>
      <c r="E374" s="20"/>
      <c r="F374" s="21"/>
      <c r="G374" s="42"/>
      <c r="H374" s="42"/>
      <c r="I374" s="22"/>
      <c r="K374" s="43"/>
    </row>
    <row r="375" ht="22.5" customHeight="1">
      <c r="B375" s="19"/>
      <c r="C375" s="19"/>
      <c r="E375" s="20"/>
      <c r="F375" s="21"/>
      <c r="G375" s="42"/>
      <c r="H375" s="42"/>
      <c r="I375" s="22"/>
      <c r="K375" s="43"/>
    </row>
    <row r="376" ht="22.5" customHeight="1">
      <c r="B376" s="19"/>
      <c r="C376" s="19"/>
      <c r="E376" s="20"/>
      <c r="F376" s="21"/>
      <c r="G376" s="42"/>
      <c r="H376" s="42"/>
      <c r="I376" s="22"/>
      <c r="K376" s="43"/>
    </row>
    <row r="377" ht="22.5" customHeight="1">
      <c r="B377" s="19"/>
      <c r="C377" s="19"/>
      <c r="E377" s="20"/>
      <c r="F377" s="21"/>
      <c r="G377" s="42"/>
      <c r="H377" s="42"/>
      <c r="I377" s="22"/>
      <c r="K377" s="43"/>
    </row>
    <row r="378" ht="22.5" customHeight="1">
      <c r="B378" s="19"/>
      <c r="C378" s="19"/>
      <c r="E378" s="20"/>
      <c r="F378" s="21"/>
      <c r="G378" s="42"/>
      <c r="H378" s="42"/>
      <c r="I378" s="22"/>
      <c r="K378" s="43"/>
    </row>
    <row r="379" ht="22.5" customHeight="1">
      <c r="B379" s="19"/>
      <c r="C379" s="19"/>
      <c r="E379" s="20"/>
      <c r="F379" s="21"/>
      <c r="G379" s="42"/>
      <c r="H379" s="42"/>
      <c r="I379" s="22"/>
      <c r="K379" s="43"/>
    </row>
    <row r="380" ht="22.5" customHeight="1">
      <c r="B380" s="19"/>
      <c r="C380" s="19"/>
      <c r="E380" s="20"/>
      <c r="F380" s="21"/>
      <c r="G380" s="42"/>
      <c r="H380" s="42"/>
      <c r="I380" s="22"/>
      <c r="K380" s="43"/>
    </row>
    <row r="381" ht="22.5" customHeight="1">
      <c r="B381" s="19"/>
      <c r="C381" s="19"/>
      <c r="E381" s="20"/>
      <c r="F381" s="21"/>
      <c r="G381" s="42"/>
      <c r="H381" s="42"/>
      <c r="I381" s="22"/>
      <c r="K381" s="43"/>
    </row>
    <row r="382" ht="22.5" customHeight="1">
      <c r="B382" s="19"/>
      <c r="C382" s="19"/>
      <c r="E382" s="20"/>
      <c r="F382" s="21"/>
      <c r="G382" s="42"/>
      <c r="H382" s="42"/>
      <c r="I382" s="22"/>
      <c r="K382" s="43"/>
    </row>
    <row r="383" ht="22.5" customHeight="1">
      <c r="B383" s="19"/>
      <c r="C383" s="19"/>
      <c r="E383" s="20"/>
      <c r="F383" s="21"/>
      <c r="G383" s="42"/>
      <c r="H383" s="42"/>
      <c r="I383" s="22"/>
      <c r="K383" s="43"/>
    </row>
    <row r="384" ht="22.5" customHeight="1">
      <c r="B384" s="19"/>
      <c r="C384" s="19"/>
      <c r="E384" s="20"/>
      <c r="F384" s="21"/>
      <c r="G384" s="42"/>
      <c r="H384" s="42"/>
      <c r="I384" s="22"/>
      <c r="K384" s="43"/>
    </row>
    <row r="385" ht="22.5" customHeight="1">
      <c r="B385" s="19"/>
      <c r="C385" s="19"/>
      <c r="E385" s="20"/>
      <c r="F385" s="21"/>
      <c r="G385" s="42"/>
      <c r="H385" s="42"/>
      <c r="I385" s="22"/>
      <c r="K385" s="43"/>
    </row>
    <row r="386" ht="22.5" customHeight="1">
      <c r="B386" s="19"/>
      <c r="C386" s="19"/>
      <c r="E386" s="20"/>
      <c r="F386" s="21"/>
      <c r="G386" s="42"/>
      <c r="H386" s="42"/>
      <c r="I386" s="22"/>
      <c r="K386" s="43"/>
    </row>
    <row r="387" ht="22.5" customHeight="1">
      <c r="B387" s="19"/>
      <c r="C387" s="19"/>
      <c r="E387" s="20"/>
      <c r="F387" s="21"/>
      <c r="G387" s="42"/>
      <c r="H387" s="42"/>
      <c r="I387" s="22"/>
      <c r="K387" s="43"/>
    </row>
    <row r="388" ht="22.5" customHeight="1">
      <c r="B388" s="19"/>
      <c r="C388" s="19"/>
      <c r="E388" s="20"/>
      <c r="F388" s="21"/>
      <c r="G388" s="42"/>
      <c r="H388" s="42"/>
      <c r="I388" s="22"/>
      <c r="K388" s="43"/>
    </row>
    <row r="389" ht="22.5" customHeight="1">
      <c r="B389" s="19"/>
      <c r="C389" s="19"/>
      <c r="E389" s="20"/>
      <c r="F389" s="21"/>
      <c r="G389" s="42"/>
      <c r="H389" s="42"/>
      <c r="I389" s="22"/>
      <c r="K389" s="43"/>
    </row>
    <row r="390" ht="22.5" customHeight="1">
      <c r="B390" s="19"/>
      <c r="C390" s="19"/>
      <c r="E390" s="20"/>
      <c r="F390" s="21"/>
      <c r="G390" s="42"/>
      <c r="H390" s="42"/>
      <c r="I390" s="22"/>
      <c r="K390" s="43"/>
    </row>
    <row r="391" ht="22.5" customHeight="1">
      <c r="B391" s="19"/>
      <c r="C391" s="19"/>
      <c r="E391" s="20"/>
      <c r="F391" s="21"/>
      <c r="G391" s="42"/>
      <c r="H391" s="42"/>
      <c r="I391" s="22"/>
      <c r="K391" s="43"/>
    </row>
    <row r="392" ht="22.5" customHeight="1">
      <c r="B392" s="19"/>
      <c r="C392" s="19"/>
      <c r="E392" s="20"/>
      <c r="F392" s="21"/>
      <c r="G392" s="42"/>
      <c r="H392" s="42"/>
      <c r="I392" s="22"/>
      <c r="K392" s="43"/>
    </row>
    <row r="393" ht="22.5" customHeight="1">
      <c r="B393" s="19"/>
      <c r="C393" s="19"/>
      <c r="E393" s="20"/>
      <c r="F393" s="21"/>
      <c r="G393" s="42"/>
      <c r="H393" s="42"/>
      <c r="I393" s="22"/>
      <c r="K393" s="43"/>
    </row>
    <row r="394" ht="22.5" customHeight="1">
      <c r="B394" s="19"/>
      <c r="C394" s="19"/>
      <c r="E394" s="20"/>
      <c r="F394" s="21"/>
      <c r="G394" s="42"/>
      <c r="H394" s="42"/>
      <c r="I394" s="22"/>
      <c r="K394" s="43"/>
    </row>
    <row r="395" ht="22.5" customHeight="1">
      <c r="B395" s="19"/>
      <c r="C395" s="19"/>
      <c r="E395" s="20"/>
      <c r="F395" s="21"/>
      <c r="G395" s="42"/>
      <c r="H395" s="42"/>
      <c r="I395" s="22"/>
      <c r="K395" s="43"/>
    </row>
    <row r="396" ht="22.5" customHeight="1">
      <c r="B396" s="19"/>
      <c r="C396" s="19"/>
      <c r="E396" s="20"/>
      <c r="F396" s="21"/>
      <c r="G396" s="42"/>
      <c r="H396" s="42"/>
      <c r="I396" s="22"/>
      <c r="K396" s="43"/>
    </row>
    <row r="397" ht="22.5" customHeight="1">
      <c r="B397" s="19"/>
      <c r="C397" s="19"/>
      <c r="E397" s="20"/>
      <c r="F397" s="21"/>
      <c r="G397" s="42"/>
      <c r="H397" s="42"/>
      <c r="I397" s="22"/>
      <c r="K397" s="43"/>
    </row>
    <row r="398" ht="22.5" customHeight="1">
      <c r="B398" s="19"/>
      <c r="C398" s="19"/>
      <c r="E398" s="20"/>
      <c r="F398" s="21"/>
      <c r="G398" s="42"/>
      <c r="H398" s="42"/>
      <c r="I398" s="22"/>
      <c r="K398" s="43"/>
    </row>
    <row r="399" ht="22.5" customHeight="1">
      <c r="B399" s="19"/>
      <c r="C399" s="19"/>
      <c r="E399" s="20"/>
      <c r="F399" s="21"/>
      <c r="G399" s="42"/>
      <c r="H399" s="42"/>
      <c r="I399" s="22"/>
      <c r="K399" s="43"/>
    </row>
    <row r="400" ht="22.5" customHeight="1">
      <c r="B400" s="19"/>
      <c r="C400" s="19"/>
      <c r="E400" s="20"/>
      <c r="F400" s="21"/>
      <c r="G400" s="42"/>
      <c r="H400" s="42"/>
      <c r="I400" s="22"/>
      <c r="K400" s="43"/>
    </row>
    <row r="401" ht="22.5" customHeight="1">
      <c r="B401" s="19"/>
      <c r="C401" s="19"/>
      <c r="E401" s="20"/>
      <c r="F401" s="21"/>
      <c r="G401" s="42"/>
      <c r="H401" s="42"/>
      <c r="I401" s="22"/>
      <c r="K401" s="43"/>
    </row>
    <row r="402" ht="22.5" customHeight="1">
      <c r="B402" s="19"/>
      <c r="C402" s="19"/>
      <c r="E402" s="20"/>
      <c r="F402" s="21"/>
      <c r="G402" s="42"/>
      <c r="H402" s="42"/>
      <c r="I402" s="22"/>
      <c r="K402" s="43"/>
    </row>
    <row r="403" ht="22.5" customHeight="1">
      <c r="B403" s="19"/>
      <c r="C403" s="19"/>
      <c r="E403" s="20"/>
      <c r="F403" s="21"/>
      <c r="G403" s="42"/>
      <c r="H403" s="42"/>
      <c r="I403" s="22"/>
      <c r="K403" s="43"/>
    </row>
    <row r="404" ht="22.5" customHeight="1">
      <c r="B404" s="19"/>
      <c r="C404" s="19"/>
      <c r="E404" s="20"/>
      <c r="F404" s="21"/>
      <c r="G404" s="42"/>
      <c r="H404" s="42"/>
      <c r="I404" s="22"/>
      <c r="K404" s="43"/>
    </row>
    <row r="405" ht="22.5" customHeight="1">
      <c r="B405" s="19"/>
      <c r="C405" s="19"/>
      <c r="E405" s="20"/>
      <c r="F405" s="21"/>
      <c r="G405" s="42"/>
      <c r="H405" s="42"/>
      <c r="I405" s="22"/>
      <c r="K405" s="43"/>
    </row>
    <row r="406" ht="22.5" customHeight="1">
      <c r="B406" s="19"/>
      <c r="C406" s="19"/>
      <c r="E406" s="20"/>
      <c r="F406" s="21"/>
      <c r="G406" s="42"/>
      <c r="H406" s="42"/>
      <c r="I406" s="22"/>
      <c r="K406" s="43"/>
    </row>
    <row r="407" ht="22.5" customHeight="1">
      <c r="B407" s="19"/>
      <c r="C407" s="19"/>
      <c r="E407" s="20"/>
      <c r="F407" s="21"/>
      <c r="G407" s="42"/>
      <c r="H407" s="42"/>
      <c r="I407" s="22"/>
      <c r="K407" s="43"/>
    </row>
    <row r="408" ht="22.5" customHeight="1">
      <c r="B408" s="19"/>
      <c r="C408" s="19"/>
      <c r="E408" s="20"/>
      <c r="F408" s="21"/>
      <c r="G408" s="42"/>
      <c r="H408" s="42"/>
      <c r="I408" s="22"/>
      <c r="K408" s="43"/>
    </row>
    <row r="409" ht="22.5" customHeight="1">
      <c r="B409" s="19"/>
      <c r="C409" s="19"/>
      <c r="E409" s="20"/>
      <c r="F409" s="21"/>
      <c r="G409" s="42"/>
      <c r="H409" s="42"/>
      <c r="I409" s="22"/>
      <c r="K409" s="43"/>
    </row>
    <row r="410" ht="22.5" customHeight="1">
      <c r="B410" s="19"/>
      <c r="C410" s="19"/>
      <c r="E410" s="20"/>
      <c r="F410" s="21"/>
      <c r="G410" s="42"/>
      <c r="H410" s="42"/>
      <c r="I410" s="22"/>
      <c r="K410" s="43"/>
    </row>
    <row r="411" ht="22.5" customHeight="1">
      <c r="B411" s="19"/>
      <c r="C411" s="19"/>
      <c r="E411" s="20"/>
      <c r="F411" s="21"/>
      <c r="G411" s="42"/>
      <c r="H411" s="42"/>
      <c r="I411" s="22"/>
      <c r="K411" s="43"/>
    </row>
    <row r="412" ht="22.5" customHeight="1">
      <c r="B412" s="19"/>
      <c r="C412" s="19"/>
      <c r="E412" s="20"/>
      <c r="F412" s="21"/>
      <c r="G412" s="42"/>
      <c r="H412" s="42"/>
      <c r="I412" s="22"/>
      <c r="K412" s="43"/>
    </row>
    <row r="413" ht="22.5" customHeight="1">
      <c r="B413" s="19"/>
      <c r="C413" s="19"/>
      <c r="E413" s="20"/>
      <c r="F413" s="21"/>
      <c r="G413" s="42"/>
      <c r="H413" s="42"/>
      <c r="I413" s="22"/>
      <c r="K413" s="43"/>
    </row>
    <row r="414" ht="22.5" customHeight="1">
      <c r="B414" s="19"/>
      <c r="C414" s="19"/>
      <c r="E414" s="20"/>
      <c r="F414" s="21"/>
      <c r="G414" s="42"/>
      <c r="H414" s="42"/>
      <c r="I414" s="22"/>
      <c r="K414" s="43"/>
    </row>
    <row r="415" ht="22.5" customHeight="1">
      <c r="B415" s="19"/>
      <c r="C415" s="19"/>
      <c r="E415" s="20"/>
      <c r="F415" s="21"/>
      <c r="G415" s="42"/>
      <c r="H415" s="42"/>
      <c r="I415" s="22"/>
      <c r="K415" s="43"/>
    </row>
    <row r="416" ht="22.5" customHeight="1">
      <c r="B416" s="19"/>
      <c r="C416" s="19"/>
      <c r="E416" s="20"/>
      <c r="F416" s="21"/>
      <c r="G416" s="42"/>
      <c r="H416" s="42"/>
      <c r="I416" s="22"/>
      <c r="K416" s="43"/>
    </row>
    <row r="417" ht="22.5" customHeight="1">
      <c r="B417" s="19"/>
      <c r="C417" s="19"/>
      <c r="E417" s="20"/>
      <c r="F417" s="21"/>
      <c r="G417" s="42"/>
      <c r="H417" s="42"/>
      <c r="I417" s="22"/>
      <c r="K417" s="43"/>
    </row>
    <row r="418" ht="22.5" customHeight="1">
      <c r="B418" s="19"/>
      <c r="C418" s="19"/>
      <c r="E418" s="20"/>
      <c r="F418" s="21"/>
      <c r="G418" s="42"/>
      <c r="H418" s="42"/>
      <c r="I418" s="22"/>
      <c r="K418" s="43"/>
    </row>
    <row r="419" ht="22.5" customHeight="1">
      <c r="B419" s="19"/>
      <c r="C419" s="19"/>
      <c r="E419" s="20"/>
      <c r="F419" s="21"/>
      <c r="G419" s="42"/>
      <c r="H419" s="42"/>
      <c r="I419" s="22"/>
      <c r="K419" s="43"/>
    </row>
    <row r="420" ht="22.5" customHeight="1">
      <c r="B420" s="19"/>
      <c r="C420" s="19"/>
      <c r="E420" s="20"/>
      <c r="F420" s="21"/>
      <c r="G420" s="42"/>
      <c r="H420" s="42"/>
      <c r="I420" s="22"/>
      <c r="K420" s="43"/>
    </row>
    <row r="421" ht="22.5" customHeight="1">
      <c r="B421" s="19"/>
      <c r="C421" s="19"/>
      <c r="E421" s="20"/>
      <c r="F421" s="21"/>
      <c r="G421" s="42"/>
      <c r="H421" s="42"/>
      <c r="I421" s="22"/>
      <c r="K421" s="43"/>
    </row>
    <row r="422" ht="22.5" customHeight="1">
      <c r="B422" s="19"/>
      <c r="C422" s="19"/>
      <c r="E422" s="20"/>
      <c r="F422" s="21"/>
      <c r="G422" s="42"/>
      <c r="H422" s="42"/>
      <c r="I422" s="22"/>
      <c r="K422" s="43"/>
    </row>
    <row r="423" ht="22.5" customHeight="1">
      <c r="B423" s="19"/>
      <c r="C423" s="19"/>
      <c r="E423" s="20"/>
      <c r="F423" s="21"/>
      <c r="G423" s="42"/>
      <c r="H423" s="42"/>
      <c r="I423" s="22"/>
      <c r="K423" s="43"/>
    </row>
    <row r="424" ht="22.5" customHeight="1">
      <c r="B424" s="19"/>
      <c r="C424" s="19"/>
      <c r="E424" s="20"/>
      <c r="F424" s="21"/>
      <c r="G424" s="42"/>
      <c r="H424" s="42"/>
      <c r="I424" s="22"/>
      <c r="K424" s="43"/>
    </row>
    <row r="425" ht="22.5" customHeight="1">
      <c r="B425" s="19"/>
      <c r="C425" s="19"/>
      <c r="E425" s="20"/>
      <c r="F425" s="21"/>
      <c r="G425" s="42"/>
      <c r="H425" s="42"/>
      <c r="I425" s="22"/>
      <c r="K425" s="43"/>
    </row>
    <row r="426" ht="22.5" customHeight="1">
      <c r="B426" s="19"/>
      <c r="C426" s="19"/>
      <c r="E426" s="20"/>
      <c r="F426" s="21"/>
      <c r="G426" s="42"/>
      <c r="H426" s="42"/>
      <c r="I426" s="22"/>
      <c r="K426" s="43"/>
    </row>
    <row r="427" ht="22.5" customHeight="1">
      <c r="B427" s="19"/>
      <c r="C427" s="19"/>
      <c r="E427" s="20"/>
      <c r="F427" s="21"/>
      <c r="G427" s="42"/>
      <c r="H427" s="42"/>
      <c r="I427" s="22"/>
      <c r="K427" s="43"/>
    </row>
    <row r="428" ht="22.5" customHeight="1">
      <c r="B428" s="19"/>
      <c r="C428" s="19"/>
      <c r="E428" s="20"/>
      <c r="F428" s="21"/>
      <c r="G428" s="42"/>
      <c r="H428" s="42"/>
      <c r="I428" s="22"/>
      <c r="K428" s="43"/>
    </row>
    <row r="429" ht="22.5" customHeight="1">
      <c r="B429" s="19"/>
      <c r="C429" s="19"/>
      <c r="E429" s="20"/>
      <c r="F429" s="21"/>
      <c r="G429" s="42"/>
      <c r="H429" s="42"/>
      <c r="I429" s="22"/>
      <c r="K429" s="43"/>
    </row>
    <row r="430" ht="22.5" customHeight="1">
      <c r="B430" s="19"/>
      <c r="C430" s="19"/>
      <c r="E430" s="20"/>
      <c r="F430" s="21"/>
      <c r="G430" s="42"/>
      <c r="H430" s="42"/>
      <c r="I430" s="22"/>
      <c r="K430" s="43"/>
    </row>
    <row r="431" ht="22.5" customHeight="1">
      <c r="B431" s="19"/>
      <c r="C431" s="19"/>
      <c r="E431" s="20"/>
      <c r="F431" s="21"/>
      <c r="G431" s="42"/>
      <c r="H431" s="42"/>
      <c r="I431" s="22"/>
      <c r="K431" s="43"/>
    </row>
    <row r="432" ht="22.5" customHeight="1">
      <c r="B432" s="19"/>
      <c r="C432" s="19"/>
      <c r="E432" s="20"/>
      <c r="F432" s="21"/>
      <c r="G432" s="42"/>
      <c r="H432" s="42"/>
      <c r="I432" s="22"/>
      <c r="K432" s="43"/>
    </row>
    <row r="433" ht="22.5" customHeight="1">
      <c r="B433" s="19"/>
      <c r="C433" s="19"/>
      <c r="E433" s="20"/>
      <c r="F433" s="21"/>
      <c r="G433" s="42"/>
      <c r="H433" s="42"/>
      <c r="I433" s="22"/>
      <c r="K433" s="43"/>
    </row>
    <row r="434" ht="22.5" customHeight="1">
      <c r="B434" s="19"/>
      <c r="C434" s="19"/>
      <c r="E434" s="20"/>
      <c r="F434" s="21"/>
      <c r="G434" s="42"/>
      <c r="H434" s="42"/>
      <c r="I434" s="22"/>
      <c r="K434" s="43"/>
    </row>
    <row r="435" ht="22.5" customHeight="1">
      <c r="B435" s="19"/>
      <c r="C435" s="19"/>
      <c r="E435" s="20"/>
      <c r="F435" s="21"/>
      <c r="G435" s="42"/>
      <c r="H435" s="42"/>
      <c r="I435" s="22"/>
      <c r="K435" s="43"/>
    </row>
    <row r="436" ht="22.5" customHeight="1">
      <c r="B436" s="19"/>
      <c r="C436" s="19"/>
      <c r="E436" s="20"/>
      <c r="F436" s="21"/>
      <c r="G436" s="42"/>
      <c r="H436" s="42"/>
      <c r="I436" s="22"/>
      <c r="K436" s="43"/>
    </row>
    <row r="437" ht="22.5" customHeight="1">
      <c r="B437" s="19"/>
      <c r="C437" s="19"/>
      <c r="E437" s="20"/>
      <c r="F437" s="21"/>
      <c r="G437" s="42"/>
      <c r="H437" s="42"/>
      <c r="I437" s="22"/>
      <c r="K437" s="43"/>
    </row>
    <row r="438" ht="22.5" customHeight="1">
      <c r="B438" s="19"/>
      <c r="C438" s="19"/>
      <c r="E438" s="20"/>
      <c r="F438" s="21"/>
      <c r="G438" s="42"/>
      <c r="H438" s="42"/>
      <c r="I438" s="22"/>
      <c r="K438" s="43"/>
    </row>
    <row r="439" ht="22.5" customHeight="1">
      <c r="B439" s="19"/>
      <c r="C439" s="19"/>
      <c r="E439" s="20"/>
      <c r="F439" s="21"/>
      <c r="G439" s="42"/>
      <c r="H439" s="42"/>
      <c r="I439" s="22"/>
      <c r="K439" s="43"/>
    </row>
    <row r="440" ht="22.5" customHeight="1">
      <c r="B440" s="19"/>
      <c r="C440" s="19"/>
      <c r="E440" s="20"/>
      <c r="F440" s="21"/>
      <c r="G440" s="42"/>
      <c r="H440" s="42"/>
      <c r="I440" s="22"/>
      <c r="K440" s="43"/>
    </row>
    <row r="441" ht="22.5" customHeight="1">
      <c r="B441" s="19"/>
      <c r="C441" s="19"/>
      <c r="E441" s="20"/>
      <c r="F441" s="21"/>
      <c r="G441" s="42"/>
      <c r="H441" s="42"/>
      <c r="I441" s="22"/>
      <c r="K441" s="43"/>
    </row>
    <row r="442" ht="22.5" customHeight="1">
      <c r="B442" s="19"/>
      <c r="C442" s="19"/>
      <c r="E442" s="20"/>
      <c r="F442" s="21"/>
      <c r="G442" s="42"/>
      <c r="H442" s="42"/>
      <c r="I442" s="22"/>
      <c r="K442" s="43"/>
    </row>
    <row r="443" ht="22.5" customHeight="1">
      <c r="B443" s="19"/>
      <c r="C443" s="19"/>
      <c r="E443" s="20"/>
      <c r="F443" s="21"/>
      <c r="G443" s="42"/>
      <c r="H443" s="42"/>
      <c r="I443" s="22"/>
      <c r="K443" s="43"/>
    </row>
    <row r="444" ht="22.5" customHeight="1">
      <c r="B444" s="19"/>
      <c r="C444" s="19"/>
      <c r="E444" s="20"/>
      <c r="F444" s="21"/>
      <c r="G444" s="42"/>
      <c r="H444" s="42"/>
      <c r="I444" s="22"/>
      <c r="K444" s="43"/>
    </row>
    <row r="445" ht="22.5" customHeight="1">
      <c r="B445" s="19"/>
      <c r="C445" s="19"/>
      <c r="E445" s="20"/>
      <c r="F445" s="21"/>
      <c r="G445" s="42"/>
      <c r="H445" s="42"/>
      <c r="I445" s="22"/>
      <c r="K445" s="43"/>
    </row>
    <row r="446" ht="22.5" customHeight="1">
      <c r="B446" s="19"/>
      <c r="C446" s="19"/>
      <c r="E446" s="20"/>
      <c r="F446" s="21"/>
      <c r="G446" s="42"/>
      <c r="H446" s="42"/>
      <c r="I446" s="22"/>
      <c r="K446" s="43"/>
    </row>
    <row r="447" ht="22.5" customHeight="1">
      <c r="B447" s="19"/>
      <c r="C447" s="19"/>
      <c r="E447" s="20"/>
      <c r="F447" s="21"/>
      <c r="G447" s="42"/>
      <c r="H447" s="42"/>
      <c r="I447" s="22"/>
      <c r="K447" s="43"/>
    </row>
    <row r="448" ht="22.5" customHeight="1">
      <c r="B448" s="19"/>
      <c r="C448" s="19"/>
      <c r="E448" s="20"/>
      <c r="F448" s="21"/>
      <c r="G448" s="42"/>
      <c r="H448" s="42"/>
      <c r="I448" s="22"/>
      <c r="K448" s="43"/>
    </row>
    <row r="449" ht="22.5" customHeight="1">
      <c r="B449" s="19"/>
      <c r="C449" s="19"/>
      <c r="E449" s="20"/>
      <c r="F449" s="21"/>
      <c r="G449" s="42"/>
      <c r="H449" s="42"/>
      <c r="I449" s="22"/>
      <c r="K449" s="43"/>
    </row>
    <row r="450" ht="22.5" customHeight="1">
      <c r="B450" s="19"/>
      <c r="C450" s="19"/>
      <c r="E450" s="20"/>
      <c r="F450" s="21"/>
      <c r="G450" s="42"/>
      <c r="H450" s="42"/>
      <c r="I450" s="22"/>
      <c r="K450" s="43"/>
    </row>
    <row r="451" ht="22.5" customHeight="1">
      <c r="B451" s="19"/>
      <c r="C451" s="19"/>
      <c r="E451" s="20"/>
      <c r="F451" s="21"/>
      <c r="G451" s="42"/>
      <c r="H451" s="42"/>
      <c r="I451" s="22"/>
      <c r="K451" s="43"/>
    </row>
    <row r="452" ht="22.5" customHeight="1">
      <c r="B452" s="19"/>
      <c r="C452" s="19"/>
      <c r="E452" s="20"/>
      <c r="F452" s="21"/>
      <c r="G452" s="42"/>
      <c r="H452" s="42"/>
      <c r="I452" s="22"/>
      <c r="K452" s="43"/>
    </row>
    <row r="453" ht="22.5" customHeight="1">
      <c r="B453" s="19"/>
      <c r="C453" s="19"/>
      <c r="E453" s="20"/>
      <c r="F453" s="21"/>
      <c r="G453" s="42"/>
      <c r="H453" s="42"/>
      <c r="I453" s="22"/>
      <c r="K453" s="43"/>
    </row>
    <row r="454" ht="22.5" customHeight="1">
      <c r="B454" s="19"/>
      <c r="C454" s="19"/>
      <c r="E454" s="20"/>
      <c r="F454" s="21"/>
      <c r="G454" s="42"/>
      <c r="H454" s="42"/>
      <c r="I454" s="22"/>
      <c r="K454" s="43"/>
    </row>
    <row r="455" ht="22.5" customHeight="1">
      <c r="B455" s="19"/>
      <c r="C455" s="19"/>
      <c r="E455" s="20"/>
      <c r="F455" s="21"/>
      <c r="G455" s="42"/>
      <c r="H455" s="42"/>
      <c r="I455" s="22"/>
      <c r="K455" s="43"/>
    </row>
    <row r="456" ht="22.5" customHeight="1">
      <c r="B456" s="19"/>
      <c r="C456" s="19"/>
      <c r="E456" s="20"/>
      <c r="F456" s="21"/>
      <c r="G456" s="42"/>
      <c r="H456" s="42"/>
      <c r="I456" s="22"/>
      <c r="K456" s="43"/>
    </row>
    <row r="457" ht="22.5" customHeight="1">
      <c r="B457" s="19"/>
      <c r="C457" s="19"/>
      <c r="E457" s="20"/>
      <c r="F457" s="21"/>
      <c r="G457" s="42"/>
      <c r="H457" s="42"/>
      <c r="I457" s="22"/>
      <c r="K457" s="43"/>
    </row>
    <row r="458" ht="22.5" customHeight="1">
      <c r="B458" s="19"/>
      <c r="C458" s="19"/>
      <c r="E458" s="20"/>
      <c r="F458" s="21"/>
      <c r="G458" s="42"/>
      <c r="H458" s="42"/>
      <c r="I458" s="22"/>
      <c r="K458" s="43"/>
    </row>
    <row r="459" ht="22.5" customHeight="1">
      <c r="B459" s="19"/>
      <c r="C459" s="19"/>
      <c r="E459" s="20"/>
      <c r="F459" s="21"/>
      <c r="G459" s="42"/>
      <c r="H459" s="42"/>
      <c r="I459" s="22"/>
      <c r="K459" s="43"/>
    </row>
    <row r="460" ht="22.5" customHeight="1">
      <c r="B460" s="19"/>
      <c r="C460" s="19"/>
      <c r="E460" s="20"/>
      <c r="F460" s="21"/>
      <c r="G460" s="42"/>
      <c r="H460" s="42"/>
      <c r="I460" s="22"/>
      <c r="K460" s="43"/>
    </row>
    <row r="461" ht="22.5" customHeight="1">
      <c r="B461" s="19"/>
      <c r="C461" s="19"/>
      <c r="E461" s="20"/>
      <c r="F461" s="21"/>
      <c r="G461" s="42"/>
      <c r="H461" s="42"/>
      <c r="I461" s="22"/>
      <c r="K461" s="43"/>
    </row>
    <row r="462" ht="22.5" customHeight="1">
      <c r="B462" s="19"/>
      <c r="C462" s="19"/>
      <c r="E462" s="20"/>
      <c r="F462" s="21"/>
      <c r="G462" s="42"/>
      <c r="H462" s="42"/>
      <c r="I462" s="22"/>
      <c r="K462" s="43"/>
    </row>
    <row r="463" ht="22.5" customHeight="1">
      <c r="B463" s="19"/>
      <c r="C463" s="19"/>
      <c r="E463" s="20"/>
      <c r="F463" s="21"/>
      <c r="G463" s="42"/>
      <c r="H463" s="42"/>
      <c r="I463" s="22"/>
      <c r="K463" s="43"/>
    </row>
    <row r="464" ht="22.5" customHeight="1">
      <c r="B464" s="19"/>
      <c r="C464" s="19"/>
      <c r="E464" s="20"/>
      <c r="F464" s="21"/>
      <c r="G464" s="42"/>
      <c r="H464" s="42"/>
      <c r="I464" s="22"/>
      <c r="K464" s="43"/>
    </row>
    <row r="465" ht="22.5" customHeight="1">
      <c r="B465" s="19"/>
      <c r="C465" s="19"/>
      <c r="E465" s="20"/>
      <c r="F465" s="21"/>
      <c r="G465" s="42"/>
      <c r="H465" s="42"/>
      <c r="I465" s="22"/>
      <c r="K465" s="43"/>
    </row>
    <row r="466" ht="22.5" customHeight="1">
      <c r="B466" s="19"/>
      <c r="C466" s="19"/>
      <c r="E466" s="20"/>
      <c r="F466" s="21"/>
      <c r="G466" s="42"/>
      <c r="H466" s="42"/>
      <c r="I466" s="22"/>
      <c r="K466" s="43"/>
    </row>
    <row r="467" ht="22.5" customHeight="1">
      <c r="B467" s="19"/>
      <c r="C467" s="19"/>
      <c r="E467" s="20"/>
      <c r="F467" s="21"/>
      <c r="G467" s="42"/>
      <c r="H467" s="42"/>
      <c r="I467" s="22"/>
      <c r="K467" s="43"/>
    </row>
    <row r="468" ht="22.5" customHeight="1">
      <c r="B468" s="19"/>
      <c r="C468" s="19"/>
      <c r="E468" s="20"/>
      <c r="F468" s="21"/>
      <c r="G468" s="42"/>
      <c r="H468" s="42"/>
      <c r="I468" s="22"/>
      <c r="K468" s="43"/>
    </row>
    <row r="469" ht="22.5" customHeight="1">
      <c r="B469" s="19"/>
      <c r="C469" s="19"/>
      <c r="E469" s="20"/>
      <c r="F469" s="21"/>
      <c r="G469" s="42"/>
      <c r="H469" s="42"/>
      <c r="I469" s="22"/>
      <c r="K469" s="43"/>
    </row>
    <row r="470" ht="22.5" customHeight="1">
      <c r="B470" s="19"/>
      <c r="C470" s="19"/>
      <c r="E470" s="20"/>
      <c r="F470" s="21"/>
      <c r="G470" s="42"/>
      <c r="H470" s="42"/>
      <c r="I470" s="22"/>
      <c r="K470" s="43"/>
    </row>
    <row r="471" ht="22.5" customHeight="1">
      <c r="B471" s="19"/>
      <c r="C471" s="19"/>
      <c r="E471" s="20"/>
      <c r="F471" s="21"/>
      <c r="G471" s="42"/>
      <c r="H471" s="42"/>
      <c r="I471" s="22"/>
      <c r="K471" s="43"/>
    </row>
    <row r="472" ht="22.5" customHeight="1">
      <c r="B472" s="19"/>
      <c r="C472" s="19"/>
      <c r="E472" s="20"/>
      <c r="F472" s="21"/>
      <c r="G472" s="42"/>
      <c r="H472" s="42"/>
      <c r="I472" s="22"/>
      <c r="K472" s="43"/>
    </row>
    <row r="473" ht="22.5" customHeight="1">
      <c r="B473" s="19"/>
      <c r="C473" s="19"/>
      <c r="E473" s="20"/>
      <c r="F473" s="21"/>
      <c r="G473" s="42"/>
      <c r="H473" s="42"/>
      <c r="I473" s="22"/>
      <c r="K473" s="43"/>
    </row>
    <row r="474" ht="22.5" customHeight="1">
      <c r="B474" s="19"/>
      <c r="C474" s="19"/>
      <c r="E474" s="20"/>
      <c r="F474" s="21"/>
      <c r="G474" s="42"/>
      <c r="H474" s="42"/>
      <c r="I474" s="22"/>
      <c r="K474" s="43"/>
    </row>
    <row r="475" ht="22.5" customHeight="1">
      <c r="B475" s="19"/>
      <c r="C475" s="19"/>
      <c r="E475" s="20"/>
      <c r="F475" s="21"/>
      <c r="G475" s="42"/>
      <c r="H475" s="42"/>
      <c r="I475" s="22"/>
      <c r="K475" s="43"/>
    </row>
    <row r="476" ht="22.5" customHeight="1">
      <c r="B476" s="19"/>
      <c r="C476" s="19"/>
      <c r="E476" s="20"/>
      <c r="F476" s="21"/>
      <c r="G476" s="42"/>
      <c r="H476" s="42"/>
      <c r="I476" s="22"/>
      <c r="K476" s="43"/>
    </row>
    <row r="477" ht="22.5" customHeight="1">
      <c r="B477" s="19"/>
      <c r="C477" s="19"/>
      <c r="E477" s="20"/>
      <c r="F477" s="21"/>
      <c r="G477" s="42"/>
      <c r="H477" s="42"/>
      <c r="I477" s="22"/>
      <c r="K477" s="43"/>
    </row>
    <row r="478" ht="22.5" customHeight="1">
      <c r="B478" s="19"/>
      <c r="C478" s="19"/>
      <c r="E478" s="20"/>
      <c r="F478" s="21"/>
      <c r="G478" s="42"/>
      <c r="H478" s="42"/>
      <c r="I478" s="22"/>
      <c r="K478" s="43"/>
    </row>
    <row r="479" ht="22.5" customHeight="1">
      <c r="B479" s="19"/>
      <c r="C479" s="19"/>
      <c r="E479" s="20"/>
      <c r="F479" s="21"/>
      <c r="G479" s="42"/>
      <c r="H479" s="42"/>
      <c r="I479" s="22"/>
      <c r="K479" s="43"/>
    </row>
    <row r="480" ht="22.5" customHeight="1">
      <c r="B480" s="19"/>
      <c r="C480" s="19"/>
      <c r="E480" s="20"/>
      <c r="F480" s="21"/>
      <c r="G480" s="42"/>
      <c r="H480" s="42"/>
      <c r="I480" s="22"/>
      <c r="K480" s="43"/>
    </row>
    <row r="481" ht="22.5" customHeight="1">
      <c r="B481" s="19"/>
      <c r="C481" s="19"/>
      <c r="E481" s="20"/>
      <c r="F481" s="21"/>
      <c r="G481" s="42"/>
      <c r="H481" s="42"/>
      <c r="I481" s="22"/>
      <c r="K481" s="43"/>
    </row>
    <row r="482" ht="22.5" customHeight="1">
      <c r="B482" s="19"/>
      <c r="C482" s="19"/>
      <c r="E482" s="20"/>
      <c r="F482" s="21"/>
      <c r="G482" s="42"/>
      <c r="H482" s="42"/>
      <c r="I482" s="22"/>
      <c r="K482" s="43"/>
    </row>
    <row r="483" ht="22.5" customHeight="1">
      <c r="B483" s="19"/>
      <c r="C483" s="19"/>
      <c r="E483" s="20"/>
      <c r="F483" s="21"/>
      <c r="G483" s="42"/>
      <c r="H483" s="42"/>
      <c r="I483" s="22"/>
      <c r="K483" s="43"/>
    </row>
    <row r="484" ht="22.5" customHeight="1">
      <c r="B484" s="19"/>
      <c r="C484" s="19"/>
      <c r="E484" s="20"/>
      <c r="F484" s="21"/>
      <c r="G484" s="42"/>
      <c r="H484" s="42"/>
      <c r="I484" s="22"/>
      <c r="K484" s="43"/>
    </row>
    <row r="485" ht="22.5" customHeight="1">
      <c r="B485" s="19"/>
      <c r="C485" s="19"/>
      <c r="E485" s="20"/>
      <c r="F485" s="21"/>
      <c r="G485" s="42"/>
      <c r="H485" s="42"/>
      <c r="I485" s="22"/>
      <c r="K485" s="43"/>
    </row>
    <row r="486" ht="22.5" customHeight="1">
      <c r="B486" s="19"/>
      <c r="C486" s="19"/>
      <c r="E486" s="20"/>
      <c r="F486" s="21"/>
      <c r="G486" s="42"/>
      <c r="H486" s="42"/>
      <c r="I486" s="22"/>
      <c r="K486" s="43"/>
    </row>
    <row r="487" ht="22.5" customHeight="1">
      <c r="B487" s="19"/>
      <c r="C487" s="19"/>
      <c r="E487" s="20"/>
      <c r="F487" s="21"/>
      <c r="G487" s="42"/>
      <c r="H487" s="42"/>
      <c r="I487" s="22"/>
      <c r="K487" s="43"/>
    </row>
    <row r="488" ht="22.5" customHeight="1">
      <c r="B488" s="19"/>
      <c r="C488" s="19"/>
      <c r="E488" s="20"/>
      <c r="F488" s="21"/>
      <c r="G488" s="42"/>
      <c r="H488" s="42"/>
      <c r="I488" s="22"/>
      <c r="K488" s="43"/>
    </row>
    <row r="489" ht="22.5" customHeight="1">
      <c r="B489" s="19"/>
      <c r="C489" s="19"/>
      <c r="E489" s="20"/>
      <c r="F489" s="21"/>
      <c r="G489" s="42"/>
      <c r="H489" s="42"/>
      <c r="I489" s="22"/>
      <c r="K489" s="43"/>
    </row>
    <row r="490" ht="22.5" customHeight="1">
      <c r="B490" s="19"/>
      <c r="C490" s="19"/>
      <c r="E490" s="20"/>
      <c r="F490" s="21"/>
      <c r="G490" s="42"/>
      <c r="H490" s="42"/>
      <c r="I490" s="22"/>
      <c r="K490" s="43"/>
    </row>
    <row r="491" ht="22.5" customHeight="1">
      <c r="B491" s="19"/>
      <c r="C491" s="19"/>
      <c r="E491" s="20"/>
      <c r="F491" s="21"/>
      <c r="G491" s="42"/>
      <c r="H491" s="42"/>
      <c r="I491" s="22"/>
      <c r="K491" s="43"/>
    </row>
    <row r="492" ht="22.5" customHeight="1">
      <c r="B492" s="19"/>
      <c r="C492" s="19"/>
      <c r="E492" s="20"/>
      <c r="F492" s="21"/>
      <c r="G492" s="42"/>
      <c r="H492" s="42"/>
      <c r="I492" s="22"/>
      <c r="K492" s="43"/>
    </row>
    <row r="493" ht="22.5" customHeight="1">
      <c r="B493" s="19"/>
      <c r="C493" s="19"/>
      <c r="E493" s="20"/>
      <c r="F493" s="21"/>
      <c r="G493" s="42"/>
      <c r="H493" s="42"/>
      <c r="I493" s="22"/>
      <c r="K493" s="43"/>
    </row>
    <row r="494" ht="22.5" customHeight="1">
      <c r="B494" s="19"/>
      <c r="C494" s="19"/>
      <c r="E494" s="20"/>
      <c r="F494" s="21"/>
      <c r="G494" s="42"/>
      <c r="H494" s="42"/>
      <c r="I494" s="22"/>
      <c r="K494" s="43"/>
    </row>
    <row r="495" ht="22.5" customHeight="1">
      <c r="B495" s="19"/>
      <c r="C495" s="19"/>
      <c r="E495" s="20"/>
      <c r="F495" s="21"/>
      <c r="G495" s="42"/>
      <c r="H495" s="42"/>
      <c r="I495" s="22"/>
      <c r="K495" s="43"/>
    </row>
    <row r="496" ht="22.5" customHeight="1">
      <c r="B496" s="19"/>
      <c r="C496" s="19"/>
      <c r="E496" s="20"/>
      <c r="F496" s="21"/>
      <c r="G496" s="42"/>
      <c r="H496" s="42"/>
      <c r="I496" s="22"/>
      <c r="K496" s="43"/>
    </row>
    <row r="497" ht="22.5" customHeight="1">
      <c r="B497" s="19"/>
      <c r="C497" s="19"/>
      <c r="E497" s="20"/>
      <c r="F497" s="21"/>
      <c r="G497" s="42"/>
      <c r="H497" s="42"/>
      <c r="I497" s="22"/>
      <c r="K497" s="43"/>
    </row>
    <row r="498" ht="22.5" customHeight="1">
      <c r="B498" s="19"/>
      <c r="C498" s="19"/>
      <c r="E498" s="20"/>
      <c r="F498" s="21"/>
      <c r="G498" s="42"/>
      <c r="H498" s="42"/>
      <c r="I498" s="22"/>
      <c r="K498" s="43"/>
    </row>
    <row r="499" ht="22.5" customHeight="1">
      <c r="B499" s="19"/>
      <c r="C499" s="19"/>
      <c r="E499" s="20"/>
      <c r="F499" s="21"/>
      <c r="G499" s="42"/>
      <c r="H499" s="42"/>
      <c r="I499" s="22"/>
      <c r="K499" s="43"/>
    </row>
    <row r="500" ht="22.5" customHeight="1">
      <c r="B500" s="19"/>
      <c r="C500" s="19"/>
      <c r="E500" s="20"/>
      <c r="F500" s="21"/>
      <c r="G500" s="42"/>
      <c r="H500" s="42"/>
      <c r="I500" s="22"/>
      <c r="K500" s="43"/>
    </row>
    <row r="501" ht="22.5" customHeight="1">
      <c r="B501" s="19"/>
      <c r="C501" s="19"/>
      <c r="E501" s="20"/>
      <c r="F501" s="21"/>
      <c r="G501" s="42"/>
      <c r="H501" s="42"/>
      <c r="I501" s="22"/>
      <c r="K501" s="43"/>
    </row>
    <row r="502" ht="22.5" customHeight="1">
      <c r="B502" s="19"/>
      <c r="C502" s="19"/>
      <c r="E502" s="20"/>
      <c r="F502" s="21"/>
      <c r="G502" s="42"/>
      <c r="H502" s="42"/>
      <c r="I502" s="22"/>
      <c r="K502" s="43"/>
    </row>
    <row r="503" ht="22.5" customHeight="1">
      <c r="B503" s="19"/>
      <c r="C503" s="19"/>
      <c r="E503" s="20"/>
      <c r="F503" s="21"/>
      <c r="G503" s="42"/>
      <c r="H503" s="42"/>
      <c r="I503" s="22"/>
      <c r="K503" s="43"/>
    </row>
    <row r="504" ht="22.5" customHeight="1">
      <c r="B504" s="19"/>
      <c r="C504" s="19"/>
      <c r="E504" s="20"/>
      <c r="F504" s="21"/>
      <c r="G504" s="42"/>
      <c r="H504" s="42"/>
      <c r="I504" s="22"/>
      <c r="K504" s="43"/>
    </row>
    <row r="505" ht="22.5" customHeight="1">
      <c r="B505" s="19"/>
      <c r="C505" s="19"/>
      <c r="E505" s="20"/>
      <c r="F505" s="21"/>
      <c r="G505" s="42"/>
      <c r="H505" s="42"/>
      <c r="I505" s="22"/>
      <c r="K505" s="43"/>
    </row>
    <row r="506" ht="22.5" customHeight="1">
      <c r="B506" s="19"/>
      <c r="C506" s="19"/>
      <c r="E506" s="20"/>
      <c r="F506" s="21"/>
      <c r="G506" s="42"/>
      <c r="H506" s="42"/>
      <c r="I506" s="22"/>
      <c r="K506" s="43"/>
    </row>
    <row r="507" ht="22.5" customHeight="1">
      <c r="B507" s="19"/>
      <c r="C507" s="19"/>
      <c r="E507" s="20"/>
      <c r="F507" s="21"/>
      <c r="G507" s="42"/>
      <c r="H507" s="42"/>
      <c r="I507" s="22"/>
      <c r="K507" s="43"/>
    </row>
    <row r="508" ht="22.5" customHeight="1">
      <c r="B508" s="19"/>
      <c r="C508" s="19"/>
      <c r="E508" s="20"/>
      <c r="F508" s="21"/>
      <c r="G508" s="42"/>
      <c r="H508" s="42"/>
      <c r="I508" s="22"/>
      <c r="K508" s="43"/>
    </row>
    <row r="509" ht="22.5" customHeight="1">
      <c r="B509" s="19"/>
      <c r="C509" s="19"/>
      <c r="E509" s="20"/>
      <c r="F509" s="21"/>
      <c r="G509" s="42"/>
      <c r="H509" s="42"/>
      <c r="I509" s="22"/>
      <c r="K509" s="43"/>
    </row>
    <row r="510" ht="22.5" customHeight="1">
      <c r="B510" s="19"/>
      <c r="C510" s="19"/>
      <c r="E510" s="20"/>
      <c r="F510" s="21"/>
      <c r="G510" s="42"/>
      <c r="H510" s="42"/>
      <c r="I510" s="22"/>
      <c r="K510" s="43"/>
    </row>
    <row r="511" ht="22.5" customHeight="1">
      <c r="B511" s="19"/>
      <c r="C511" s="19"/>
      <c r="E511" s="20"/>
      <c r="F511" s="21"/>
      <c r="G511" s="42"/>
      <c r="H511" s="42"/>
      <c r="I511" s="22"/>
      <c r="K511" s="43"/>
    </row>
    <row r="512" ht="22.5" customHeight="1">
      <c r="B512" s="19"/>
      <c r="C512" s="19"/>
      <c r="E512" s="20"/>
      <c r="F512" s="21"/>
      <c r="G512" s="42"/>
      <c r="H512" s="42"/>
      <c r="I512" s="22"/>
      <c r="K512" s="43"/>
    </row>
    <row r="513" ht="22.5" customHeight="1">
      <c r="B513" s="19"/>
      <c r="C513" s="19"/>
      <c r="E513" s="20"/>
      <c r="F513" s="21"/>
      <c r="G513" s="42"/>
      <c r="H513" s="42"/>
      <c r="I513" s="22"/>
      <c r="K513" s="43"/>
    </row>
    <row r="514" ht="22.5" customHeight="1">
      <c r="B514" s="19"/>
      <c r="C514" s="19"/>
      <c r="E514" s="20"/>
      <c r="F514" s="21"/>
      <c r="G514" s="42"/>
      <c r="H514" s="42"/>
      <c r="I514" s="22"/>
      <c r="K514" s="43"/>
    </row>
    <row r="515" ht="22.5" customHeight="1">
      <c r="B515" s="19"/>
      <c r="C515" s="19"/>
      <c r="E515" s="20"/>
      <c r="F515" s="21"/>
      <c r="G515" s="42"/>
      <c r="H515" s="42"/>
      <c r="I515" s="22"/>
      <c r="K515" s="43"/>
    </row>
    <row r="516" ht="22.5" customHeight="1">
      <c r="B516" s="19"/>
      <c r="C516" s="19"/>
      <c r="E516" s="20"/>
      <c r="F516" s="21"/>
      <c r="G516" s="42"/>
      <c r="H516" s="42"/>
      <c r="I516" s="22"/>
      <c r="K516" s="43"/>
    </row>
    <row r="517" ht="22.5" customHeight="1">
      <c r="B517" s="19"/>
      <c r="C517" s="19"/>
      <c r="E517" s="20"/>
      <c r="F517" s="21"/>
      <c r="G517" s="42"/>
      <c r="H517" s="42"/>
      <c r="I517" s="22"/>
      <c r="K517" s="43"/>
    </row>
    <row r="518" ht="22.5" customHeight="1">
      <c r="B518" s="19"/>
      <c r="C518" s="19"/>
      <c r="E518" s="20"/>
      <c r="F518" s="21"/>
      <c r="G518" s="42"/>
      <c r="H518" s="42"/>
      <c r="I518" s="22"/>
      <c r="K518" s="43"/>
    </row>
    <row r="519" ht="22.5" customHeight="1">
      <c r="B519" s="19"/>
      <c r="C519" s="19"/>
      <c r="E519" s="20"/>
      <c r="F519" s="21"/>
      <c r="G519" s="42"/>
      <c r="H519" s="42"/>
      <c r="I519" s="22"/>
      <c r="K519" s="43"/>
    </row>
    <row r="520" ht="22.5" customHeight="1">
      <c r="B520" s="19"/>
      <c r="C520" s="19"/>
      <c r="E520" s="20"/>
      <c r="F520" s="21"/>
      <c r="G520" s="42"/>
      <c r="H520" s="42"/>
      <c r="I520" s="22"/>
      <c r="K520" s="43"/>
    </row>
    <row r="521" ht="22.5" customHeight="1">
      <c r="B521" s="19"/>
      <c r="C521" s="19"/>
      <c r="E521" s="20"/>
      <c r="F521" s="21"/>
      <c r="G521" s="42"/>
      <c r="H521" s="42"/>
      <c r="I521" s="22"/>
      <c r="K521" s="43"/>
    </row>
    <row r="522" ht="22.5" customHeight="1">
      <c r="B522" s="19"/>
      <c r="C522" s="19"/>
      <c r="E522" s="20"/>
      <c r="F522" s="21"/>
      <c r="G522" s="42"/>
      <c r="H522" s="42"/>
      <c r="I522" s="22"/>
      <c r="K522" s="43"/>
    </row>
    <row r="523" ht="22.5" customHeight="1">
      <c r="B523" s="19"/>
      <c r="C523" s="19"/>
      <c r="E523" s="20"/>
      <c r="F523" s="21"/>
      <c r="G523" s="42"/>
      <c r="H523" s="42"/>
      <c r="I523" s="22"/>
      <c r="K523" s="43"/>
    </row>
    <row r="524" ht="22.5" customHeight="1">
      <c r="B524" s="19"/>
      <c r="C524" s="19"/>
      <c r="E524" s="20"/>
      <c r="F524" s="21"/>
      <c r="G524" s="42"/>
      <c r="H524" s="42"/>
      <c r="I524" s="22"/>
      <c r="K524" s="43"/>
    </row>
    <row r="525" ht="22.5" customHeight="1">
      <c r="B525" s="19"/>
      <c r="C525" s="19"/>
      <c r="E525" s="20"/>
      <c r="F525" s="21"/>
      <c r="G525" s="42"/>
      <c r="H525" s="42"/>
      <c r="I525" s="22"/>
      <c r="K525" s="43"/>
    </row>
    <row r="526" ht="22.5" customHeight="1">
      <c r="B526" s="19"/>
      <c r="C526" s="19"/>
      <c r="E526" s="20"/>
      <c r="F526" s="21"/>
      <c r="G526" s="42"/>
      <c r="H526" s="42"/>
      <c r="I526" s="22"/>
      <c r="K526" s="43"/>
    </row>
    <row r="527" ht="22.5" customHeight="1">
      <c r="B527" s="19"/>
      <c r="C527" s="19"/>
      <c r="E527" s="20"/>
      <c r="F527" s="21"/>
      <c r="G527" s="42"/>
      <c r="H527" s="42"/>
      <c r="I527" s="22"/>
      <c r="K527" s="43"/>
    </row>
    <row r="528" ht="22.5" customHeight="1">
      <c r="B528" s="19"/>
      <c r="C528" s="19"/>
      <c r="E528" s="20"/>
      <c r="F528" s="21"/>
      <c r="G528" s="42"/>
      <c r="H528" s="42"/>
      <c r="I528" s="22"/>
      <c r="K528" s="43"/>
    </row>
    <row r="529" ht="22.5" customHeight="1">
      <c r="B529" s="19"/>
      <c r="C529" s="19"/>
      <c r="E529" s="20"/>
      <c r="F529" s="21"/>
      <c r="G529" s="42"/>
      <c r="H529" s="42"/>
      <c r="I529" s="22"/>
      <c r="K529" s="43"/>
    </row>
    <row r="530" ht="22.5" customHeight="1">
      <c r="B530" s="19"/>
      <c r="C530" s="19"/>
      <c r="E530" s="20"/>
      <c r="F530" s="21"/>
      <c r="G530" s="42"/>
      <c r="H530" s="42"/>
      <c r="I530" s="22"/>
      <c r="K530" s="43"/>
    </row>
    <row r="531" ht="22.5" customHeight="1">
      <c r="B531" s="19"/>
      <c r="C531" s="19"/>
      <c r="E531" s="20"/>
      <c r="F531" s="21"/>
      <c r="G531" s="42"/>
      <c r="H531" s="42"/>
      <c r="I531" s="22"/>
      <c r="K531" s="43"/>
    </row>
    <row r="532" ht="22.5" customHeight="1">
      <c r="B532" s="19"/>
      <c r="C532" s="19"/>
      <c r="E532" s="20"/>
      <c r="F532" s="21"/>
      <c r="G532" s="42"/>
      <c r="H532" s="42"/>
      <c r="I532" s="22"/>
      <c r="K532" s="43"/>
    </row>
    <row r="533" ht="22.5" customHeight="1">
      <c r="B533" s="19"/>
      <c r="C533" s="19"/>
      <c r="E533" s="20"/>
      <c r="F533" s="21"/>
      <c r="G533" s="42"/>
      <c r="H533" s="42"/>
      <c r="I533" s="22"/>
      <c r="K533" s="43"/>
    </row>
    <row r="534" ht="22.5" customHeight="1">
      <c r="B534" s="19"/>
      <c r="C534" s="19"/>
      <c r="E534" s="20"/>
      <c r="F534" s="21"/>
      <c r="G534" s="42"/>
      <c r="H534" s="42"/>
      <c r="I534" s="22"/>
      <c r="K534" s="43"/>
    </row>
    <row r="535" ht="22.5" customHeight="1">
      <c r="B535" s="19"/>
      <c r="C535" s="19"/>
      <c r="E535" s="20"/>
      <c r="F535" s="21"/>
      <c r="G535" s="42"/>
      <c r="H535" s="42"/>
      <c r="I535" s="22"/>
      <c r="K535" s="43"/>
    </row>
    <row r="536" ht="22.5" customHeight="1">
      <c r="B536" s="19"/>
      <c r="C536" s="19"/>
      <c r="E536" s="20"/>
      <c r="F536" s="21"/>
      <c r="G536" s="42"/>
      <c r="H536" s="42"/>
      <c r="I536" s="22"/>
      <c r="K536" s="43"/>
    </row>
    <row r="537" ht="22.5" customHeight="1">
      <c r="B537" s="19"/>
      <c r="C537" s="19"/>
      <c r="E537" s="20"/>
      <c r="F537" s="21"/>
      <c r="G537" s="42"/>
      <c r="H537" s="42"/>
      <c r="I537" s="22"/>
      <c r="K537" s="43"/>
    </row>
    <row r="538" ht="22.5" customHeight="1">
      <c r="B538" s="19"/>
      <c r="C538" s="19"/>
      <c r="E538" s="20"/>
      <c r="F538" s="21"/>
      <c r="G538" s="42"/>
      <c r="H538" s="42"/>
      <c r="I538" s="22"/>
      <c r="K538" s="43"/>
    </row>
    <row r="539" ht="22.5" customHeight="1">
      <c r="B539" s="19"/>
      <c r="C539" s="19"/>
      <c r="E539" s="20"/>
      <c r="F539" s="21"/>
      <c r="G539" s="42"/>
      <c r="H539" s="42"/>
      <c r="I539" s="22"/>
      <c r="K539" s="43"/>
    </row>
    <row r="540" ht="22.5" customHeight="1">
      <c r="B540" s="19"/>
      <c r="C540" s="19"/>
      <c r="E540" s="20"/>
      <c r="F540" s="21"/>
      <c r="G540" s="42"/>
      <c r="H540" s="42"/>
      <c r="I540" s="22"/>
      <c r="K540" s="43"/>
    </row>
    <row r="541" ht="22.5" customHeight="1">
      <c r="B541" s="19"/>
      <c r="C541" s="19"/>
      <c r="E541" s="20"/>
      <c r="F541" s="21"/>
      <c r="G541" s="42"/>
      <c r="H541" s="42"/>
      <c r="I541" s="22"/>
      <c r="K541" s="43"/>
    </row>
    <row r="542" ht="22.5" customHeight="1">
      <c r="B542" s="19"/>
      <c r="C542" s="19"/>
      <c r="E542" s="20"/>
      <c r="F542" s="21"/>
      <c r="G542" s="42"/>
      <c r="H542" s="42"/>
      <c r="I542" s="22"/>
      <c r="K542" s="43"/>
    </row>
    <row r="543" ht="22.5" customHeight="1">
      <c r="B543" s="19"/>
      <c r="C543" s="19"/>
      <c r="E543" s="20"/>
      <c r="F543" s="21"/>
      <c r="G543" s="42"/>
      <c r="H543" s="42"/>
      <c r="I543" s="22"/>
      <c r="K543" s="43"/>
    </row>
    <row r="544" ht="22.5" customHeight="1">
      <c r="B544" s="19"/>
      <c r="C544" s="19"/>
      <c r="E544" s="20"/>
      <c r="F544" s="21"/>
      <c r="G544" s="42"/>
      <c r="H544" s="42"/>
      <c r="I544" s="22"/>
      <c r="K544" s="43"/>
    </row>
    <row r="545" ht="22.5" customHeight="1">
      <c r="B545" s="19"/>
      <c r="C545" s="19"/>
      <c r="E545" s="20"/>
      <c r="F545" s="21"/>
      <c r="G545" s="42"/>
      <c r="H545" s="42"/>
      <c r="I545" s="22"/>
      <c r="K545" s="43"/>
    </row>
    <row r="546" ht="22.5" customHeight="1">
      <c r="B546" s="19"/>
      <c r="C546" s="19"/>
      <c r="E546" s="20"/>
      <c r="F546" s="21"/>
      <c r="G546" s="42"/>
      <c r="H546" s="42"/>
      <c r="I546" s="22"/>
      <c r="K546" s="43"/>
    </row>
    <row r="547" ht="22.5" customHeight="1">
      <c r="B547" s="19"/>
      <c r="C547" s="19"/>
      <c r="E547" s="20"/>
      <c r="F547" s="21"/>
      <c r="G547" s="42"/>
      <c r="H547" s="42"/>
      <c r="I547" s="22"/>
      <c r="K547" s="43"/>
    </row>
    <row r="548" ht="22.5" customHeight="1">
      <c r="B548" s="19"/>
      <c r="C548" s="19"/>
      <c r="E548" s="20"/>
      <c r="F548" s="21"/>
      <c r="G548" s="42"/>
      <c r="H548" s="42"/>
      <c r="I548" s="22"/>
      <c r="K548" s="43"/>
    </row>
    <row r="549" ht="22.5" customHeight="1">
      <c r="B549" s="19"/>
      <c r="C549" s="19"/>
      <c r="E549" s="20"/>
      <c r="F549" s="21"/>
      <c r="G549" s="42"/>
      <c r="H549" s="42"/>
      <c r="I549" s="22"/>
      <c r="K549" s="43"/>
    </row>
    <row r="550" ht="22.5" customHeight="1">
      <c r="B550" s="19"/>
      <c r="C550" s="19"/>
      <c r="E550" s="20"/>
      <c r="F550" s="21"/>
      <c r="G550" s="42"/>
      <c r="H550" s="42"/>
      <c r="I550" s="22"/>
      <c r="K550" s="43"/>
    </row>
    <row r="551" ht="22.5" customHeight="1">
      <c r="B551" s="19"/>
      <c r="C551" s="19"/>
      <c r="E551" s="20"/>
      <c r="F551" s="21"/>
      <c r="G551" s="42"/>
      <c r="H551" s="42"/>
      <c r="I551" s="22"/>
      <c r="K551" s="43"/>
    </row>
    <row r="552" ht="22.5" customHeight="1">
      <c r="B552" s="19"/>
      <c r="C552" s="19"/>
      <c r="E552" s="20"/>
      <c r="F552" s="21"/>
      <c r="G552" s="42"/>
      <c r="H552" s="42"/>
      <c r="I552" s="22"/>
      <c r="K552" s="43"/>
    </row>
    <row r="553" ht="22.5" customHeight="1">
      <c r="B553" s="19"/>
      <c r="C553" s="19"/>
      <c r="E553" s="20"/>
      <c r="F553" s="21"/>
      <c r="G553" s="42"/>
      <c r="H553" s="42"/>
      <c r="I553" s="22"/>
      <c r="K553" s="43"/>
    </row>
    <row r="554" ht="22.5" customHeight="1">
      <c r="B554" s="19"/>
      <c r="C554" s="19"/>
      <c r="E554" s="20"/>
      <c r="F554" s="21"/>
      <c r="G554" s="42"/>
      <c r="H554" s="42"/>
      <c r="I554" s="22"/>
      <c r="K554" s="43"/>
    </row>
    <row r="555" ht="22.5" customHeight="1">
      <c r="B555" s="19"/>
      <c r="C555" s="19"/>
      <c r="E555" s="20"/>
      <c r="F555" s="21"/>
      <c r="G555" s="42"/>
      <c r="H555" s="42"/>
      <c r="I555" s="22"/>
      <c r="K555" s="43"/>
    </row>
    <row r="556" ht="22.5" customHeight="1">
      <c r="B556" s="19"/>
      <c r="C556" s="19"/>
      <c r="E556" s="20"/>
      <c r="F556" s="21"/>
      <c r="G556" s="42"/>
      <c r="H556" s="42"/>
      <c r="I556" s="22"/>
      <c r="K556" s="43"/>
    </row>
    <row r="557" ht="22.5" customHeight="1">
      <c r="B557" s="19"/>
      <c r="C557" s="19"/>
      <c r="E557" s="20"/>
      <c r="F557" s="21"/>
      <c r="G557" s="42"/>
      <c r="H557" s="42"/>
      <c r="I557" s="22"/>
      <c r="K557" s="43"/>
    </row>
    <row r="558" ht="22.5" customHeight="1">
      <c r="B558" s="19"/>
      <c r="C558" s="19"/>
      <c r="E558" s="20"/>
      <c r="F558" s="21"/>
      <c r="G558" s="42"/>
      <c r="H558" s="42"/>
      <c r="I558" s="22"/>
      <c r="K558" s="43"/>
    </row>
    <row r="559" ht="22.5" customHeight="1">
      <c r="B559" s="19"/>
      <c r="C559" s="19"/>
      <c r="E559" s="20"/>
      <c r="F559" s="21"/>
      <c r="G559" s="42"/>
      <c r="H559" s="42"/>
      <c r="I559" s="22"/>
      <c r="K559" s="43"/>
    </row>
    <row r="560" ht="22.5" customHeight="1">
      <c r="B560" s="19"/>
      <c r="C560" s="19"/>
      <c r="E560" s="20"/>
      <c r="F560" s="21"/>
      <c r="G560" s="42"/>
      <c r="H560" s="42"/>
      <c r="I560" s="22"/>
      <c r="K560" s="43"/>
    </row>
    <row r="561" ht="22.5" customHeight="1">
      <c r="B561" s="19"/>
      <c r="C561" s="19"/>
      <c r="E561" s="20"/>
      <c r="F561" s="21"/>
      <c r="G561" s="42"/>
      <c r="H561" s="42"/>
      <c r="I561" s="22"/>
      <c r="K561" s="43"/>
    </row>
    <row r="562" ht="22.5" customHeight="1">
      <c r="B562" s="19"/>
      <c r="C562" s="19"/>
      <c r="E562" s="20"/>
      <c r="F562" s="21"/>
      <c r="G562" s="42"/>
      <c r="H562" s="42"/>
      <c r="I562" s="22"/>
      <c r="K562" s="43"/>
    </row>
    <row r="563" ht="22.5" customHeight="1">
      <c r="B563" s="19"/>
      <c r="C563" s="19"/>
      <c r="E563" s="20"/>
      <c r="F563" s="21"/>
      <c r="G563" s="42"/>
      <c r="H563" s="42"/>
      <c r="I563" s="22"/>
      <c r="K563" s="43"/>
    </row>
    <row r="564" ht="22.5" customHeight="1">
      <c r="B564" s="19"/>
      <c r="C564" s="19"/>
      <c r="E564" s="20"/>
      <c r="F564" s="21"/>
      <c r="G564" s="42"/>
      <c r="H564" s="42"/>
      <c r="I564" s="22"/>
      <c r="K564" s="43"/>
    </row>
    <row r="565" ht="22.5" customHeight="1">
      <c r="B565" s="19"/>
      <c r="C565" s="19"/>
      <c r="E565" s="20"/>
      <c r="F565" s="21"/>
      <c r="G565" s="42"/>
      <c r="H565" s="42"/>
      <c r="I565" s="22"/>
      <c r="K565" s="43"/>
    </row>
    <row r="566" ht="22.5" customHeight="1">
      <c r="B566" s="19"/>
      <c r="C566" s="19"/>
      <c r="E566" s="20"/>
      <c r="F566" s="21"/>
      <c r="G566" s="42"/>
      <c r="H566" s="42"/>
      <c r="I566" s="22"/>
      <c r="K566" s="43"/>
    </row>
    <row r="567" ht="22.5" customHeight="1">
      <c r="B567" s="19"/>
      <c r="C567" s="19"/>
      <c r="E567" s="20"/>
      <c r="F567" s="21"/>
      <c r="G567" s="42"/>
      <c r="H567" s="42"/>
      <c r="I567" s="22"/>
      <c r="K567" s="43"/>
    </row>
    <row r="568" ht="22.5" customHeight="1">
      <c r="B568" s="19"/>
      <c r="C568" s="19"/>
      <c r="E568" s="20"/>
      <c r="F568" s="21"/>
      <c r="G568" s="42"/>
      <c r="H568" s="42"/>
      <c r="I568" s="22"/>
      <c r="K568" s="43"/>
    </row>
    <row r="569" ht="22.5" customHeight="1">
      <c r="B569" s="19"/>
      <c r="C569" s="19"/>
      <c r="E569" s="20"/>
      <c r="F569" s="21"/>
      <c r="G569" s="42"/>
      <c r="H569" s="42"/>
      <c r="I569" s="22"/>
      <c r="K569" s="43"/>
    </row>
    <row r="570" ht="22.5" customHeight="1">
      <c r="B570" s="19"/>
      <c r="C570" s="19"/>
      <c r="E570" s="20"/>
      <c r="F570" s="21"/>
      <c r="G570" s="42"/>
      <c r="H570" s="42"/>
      <c r="I570" s="22"/>
      <c r="K570" s="43"/>
    </row>
    <row r="571" ht="22.5" customHeight="1">
      <c r="B571" s="19"/>
      <c r="C571" s="19"/>
      <c r="E571" s="20"/>
      <c r="F571" s="21"/>
      <c r="G571" s="42"/>
      <c r="H571" s="42"/>
      <c r="I571" s="22"/>
      <c r="K571" s="43"/>
    </row>
    <row r="572" ht="22.5" customHeight="1">
      <c r="B572" s="19"/>
      <c r="C572" s="19"/>
      <c r="E572" s="20"/>
      <c r="F572" s="21"/>
      <c r="G572" s="42"/>
      <c r="H572" s="42"/>
      <c r="I572" s="22"/>
      <c r="K572" s="43"/>
    </row>
    <row r="573" ht="22.5" customHeight="1">
      <c r="B573" s="19"/>
      <c r="C573" s="19"/>
      <c r="E573" s="20"/>
      <c r="F573" s="21"/>
      <c r="G573" s="42"/>
      <c r="H573" s="42"/>
      <c r="I573" s="22"/>
      <c r="K573" s="43"/>
    </row>
    <row r="574" ht="22.5" customHeight="1">
      <c r="B574" s="19"/>
      <c r="C574" s="19"/>
      <c r="E574" s="20"/>
      <c r="F574" s="21"/>
      <c r="G574" s="42"/>
      <c r="H574" s="42"/>
      <c r="I574" s="22"/>
      <c r="K574" s="43"/>
    </row>
    <row r="575" ht="22.5" customHeight="1">
      <c r="B575" s="19"/>
      <c r="C575" s="19"/>
      <c r="E575" s="20"/>
      <c r="F575" s="21"/>
      <c r="G575" s="42"/>
      <c r="H575" s="42"/>
      <c r="I575" s="22"/>
      <c r="K575" s="43"/>
    </row>
    <row r="576" ht="22.5" customHeight="1">
      <c r="B576" s="19"/>
      <c r="C576" s="19"/>
      <c r="E576" s="20"/>
      <c r="F576" s="21"/>
      <c r="G576" s="42"/>
      <c r="H576" s="42"/>
      <c r="I576" s="22"/>
      <c r="K576" s="43"/>
    </row>
    <row r="577" ht="22.5" customHeight="1">
      <c r="B577" s="19"/>
      <c r="C577" s="19"/>
      <c r="E577" s="20"/>
      <c r="F577" s="21"/>
      <c r="G577" s="42"/>
      <c r="H577" s="42"/>
      <c r="I577" s="22"/>
      <c r="K577" s="43"/>
    </row>
    <row r="578" ht="22.5" customHeight="1">
      <c r="B578" s="19"/>
      <c r="C578" s="19"/>
      <c r="E578" s="20"/>
      <c r="F578" s="21"/>
      <c r="G578" s="42"/>
      <c r="H578" s="42"/>
      <c r="I578" s="22"/>
      <c r="K578" s="43"/>
    </row>
    <row r="579" ht="22.5" customHeight="1">
      <c r="B579" s="19"/>
      <c r="C579" s="19"/>
      <c r="E579" s="20"/>
      <c r="F579" s="21"/>
      <c r="G579" s="42"/>
      <c r="H579" s="42"/>
      <c r="I579" s="22"/>
      <c r="K579" s="43"/>
    </row>
    <row r="580" ht="22.5" customHeight="1">
      <c r="B580" s="19"/>
      <c r="C580" s="19"/>
      <c r="E580" s="20"/>
      <c r="F580" s="21"/>
      <c r="G580" s="42"/>
      <c r="H580" s="42"/>
      <c r="I580" s="22"/>
      <c r="K580" s="43"/>
    </row>
    <row r="581" ht="22.5" customHeight="1">
      <c r="B581" s="19"/>
      <c r="C581" s="19"/>
      <c r="E581" s="20"/>
      <c r="F581" s="21"/>
      <c r="G581" s="42"/>
      <c r="H581" s="42"/>
      <c r="I581" s="22"/>
      <c r="K581" s="43"/>
    </row>
    <row r="582" ht="22.5" customHeight="1">
      <c r="B582" s="19"/>
      <c r="C582" s="19"/>
      <c r="E582" s="20"/>
      <c r="F582" s="21"/>
      <c r="G582" s="42"/>
      <c r="H582" s="42"/>
      <c r="I582" s="22"/>
      <c r="K582" s="43"/>
    </row>
    <row r="583" ht="22.5" customHeight="1">
      <c r="B583" s="19"/>
      <c r="C583" s="19"/>
      <c r="E583" s="20"/>
      <c r="F583" s="21"/>
      <c r="G583" s="42"/>
      <c r="H583" s="42"/>
      <c r="I583" s="22"/>
      <c r="K583" s="43"/>
    </row>
    <row r="584" ht="22.5" customHeight="1">
      <c r="B584" s="19"/>
      <c r="C584" s="19"/>
      <c r="E584" s="20"/>
      <c r="F584" s="21"/>
      <c r="G584" s="42"/>
      <c r="H584" s="42"/>
      <c r="I584" s="22"/>
      <c r="K584" s="43"/>
    </row>
    <row r="585" ht="22.5" customHeight="1">
      <c r="B585" s="19"/>
      <c r="C585" s="19"/>
      <c r="E585" s="20"/>
      <c r="F585" s="21"/>
      <c r="G585" s="42"/>
      <c r="H585" s="42"/>
      <c r="I585" s="22"/>
      <c r="K585" s="43"/>
    </row>
    <row r="586" ht="22.5" customHeight="1">
      <c r="B586" s="19"/>
      <c r="C586" s="19"/>
      <c r="E586" s="20"/>
      <c r="F586" s="21"/>
      <c r="G586" s="42"/>
      <c r="H586" s="42"/>
      <c r="I586" s="22"/>
      <c r="K586" s="43"/>
    </row>
    <row r="587" ht="22.5" customHeight="1">
      <c r="B587" s="19"/>
      <c r="C587" s="19"/>
      <c r="E587" s="20"/>
      <c r="F587" s="21"/>
      <c r="G587" s="42"/>
      <c r="H587" s="42"/>
      <c r="I587" s="22"/>
      <c r="K587" s="43"/>
    </row>
    <row r="588" ht="22.5" customHeight="1">
      <c r="B588" s="19"/>
      <c r="C588" s="19"/>
      <c r="E588" s="20"/>
      <c r="F588" s="21"/>
      <c r="G588" s="42"/>
      <c r="H588" s="42"/>
      <c r="I588" s="22"/>
      <c r="K588" s="43"/>
    </row>
    <row r="589" ht="22.5" customHeight="1">
      <c r="B589" s="19"/>
      <c r="C589" s="19"/>
      <c r="E589" s="20"/>
      <c r="F589" s="21"/>
      <c r="G589" s="42"/>
      <c r="H589" s="42"/>
      <c r="I589" s="22"/>
      <c r="K589" s="43"/>
    </row>
    <row r="590" ht="22.5" customHeight="1">
      <c r="B590" s="19"/>
      <c r="C590" s="19"/>
      <c r="E590" s="20"/>
      <c r="F590" s="21"/>
      <c r="G590" s="42"/>
      <c r="H590" s="42"/>
      <c r="I590" s="22"/>
      <c r="K590" s="43"/>
    </row>
    <row r="591" ht="22.5" customHeight="1">
      <c r="B591" s="19"/>
      <c r="C591" s="19"/>
      <c r="E591" s="20"/>
      <c r="F591" s="21"/>
      <c r="G591" s="42"/>
      <c r="H591" s="42"/>
      <c r="I591" s="22"/>
      <c r="K591" s="43"/>
    </row>
    <row r="592" ht="22.5" customHeight="1">
      <c r="B592" s="19"/>
      <c r="C592" s="19"/>
      <c r="E592" s="20"/>
      <c r="F592" s="21"/>
      <c r="G592" s="42"/>
      <c r="H592" s="42"/>
      <c r="I592" s="22"/>
      <c r="K592" s="43"/>
    </row>
    <row r="593" ht="22.5" customHeight="1">
      <c r="B593" s="19"/>
      <c r="C593" s="19"/>
      <c r="E593" s="20"/>
      <c r="F593" s="21"/>
      <c r="G593" s="42"/>
      <c r="H593" s="42"/>
      <c r="I593" s="22"/>
      <c r="K593" s="43"/>
    </row>
    <row r="594" ht="22.5" customHeight="1">
      <c r="B594" s="19"/>
      <c r="C594" s="19"/>
      <c r="E594" s="20"/>
      <c r="F594" s="21"/>
      <c r="G594" s="42"/>
      <c r="H594" s="42"/>
      <c r="I594" s="22"/>
      <c r="K594" s="43"/>
    </row>
    <row r="595" ht="22.5" customHeight="1">
      <c r="B595" s="19"/>
      <c r="C595" s="19"/>
      <c r="E595" s="20"/>
      <c r="F595" s="21"/>
      <c r="G595" s="42"/>
      <c r="H595" s="42"/>
      <c r="I595" s="22"/>
      <c r="K595" s="43"/>
    </row>
    <row r="596" ht="22.5" customHeight="1">
      <c r="B596" s="19"/>
      <c r="C596" s="19"/>
      <c r="E596" s="20"/>
      <c r="F596" s="21"/>
      <c r="G596" s="42"/>
      <c r="H596" s="42"/>
      <c r="I596" s="22"/>
      <c r="K596" s="43"/>
    </row>
    <row r="597" ht="22.5" customHeight="1">
      <c r="B597" s="19"/>
      <c r="C597" s="19"/>
      <c r="E597" s="20"/>
      <c r="F597" s="21"/>
      <c r="G597" s="42"/>
      <c r="H597" s="42"/>
      <c r="I597" s="22"/>
      <c r="K597" s="43"/>
    </row>
    <row r="598" ht="22.5" customHeight="1">
      <c r="B598" s="19"/>
      <c r="C598" s="19"/>
      <c r="E598" s="20"/>
      <c r="F598" s="21"/>
      <c r="G598" s="42"/>
      <c r="H598" s="42"/>
      <c r="I598" s="22"/>
      <c r="K598" s="43"/>
    </row>
    <row r="599" ht="22.5" customHeight="1">
      <c r="B599" s="19"/>
      <c r="C599" s="19"/>
      <c r="E599" s="20"/>
      <c r="F599" s="21"/>
      <c r="G599" s="42"/>
      <c r="H599" s="42"/>
      <c r="I599" s="22"/>
      <c r="K599" s="43"/>
    </row>
    <row r="600" ht="22.5" customHeight="1">
      <c r="B600" s="19"/>
      <c r="C600" s="19"/>
      <c r="E600" s="20"/>
      <c r="F600" s="21"/>
      <c r="G600" s="42"/>
      <c r="H600" s="42"/>
      <c r="I600" s="22"/>
      <c r="K600" s="43"/>
    </row>
    <row r="601" ht="22.5" customHeight="1">
      <c r="B601" s="19"/>
      <c r="C601" s="19"/>
      <c r="E601" s="20"/>
      <c r="F601" s="21"/>
      <c r="G601" s="42"/>
      <c r="H601" s="42"/>
      <c r="I601" s="22"/>
      <c r="K601" s="43"/>
    </row>
    <row r="602" ht="22.5" customHeight="1">
      <c r="B602" s="19"/>
      <c r="C602" s="19"/>
      <c r="E602" s="20"/>
      <c r="F602" s="21"/>
      <c r="G602" s="42"/>
      <c r="H602" s="42"/>
      <c r="I602" s="22"/>
      <c r="K602" s="43"/>
    </row>
    <row r="603" ht="22.5" customHeight="1">
      <c r="B603" s="19"/>
      <c r="C603" s="19"/>
      <c r="E603" s="20"/>
      <c r="F603" s="21"/>
      <c r="G603" s="42"/>
      <c r="H603" s="42"/>
      <c r="I603" s="22"/>
      <c r="K603" s="43"/>
    </row>
    <row r="604" ht="22.5" customHeight="1">
      <c r="B604" s="19"/>
      <c r="C604" s="19"/>
      <c r="E604" s="20"/>
      <c r="F604" s="21"/>
      <c r="G604" s="42"/>
      <c r="H604" s="42"/>
      <c r="I604" s="22"/>
      <c r="K604" s="43"/>
    </row>
    <row r="605" ht="22.5" customHeight="1">
      <c r="B605" s="19"/>
      <c r="C605" s="19"/>
      <c r="E605" s="20"/>
      <c r="F605" s="21"/>
      <c r="G605" s="42"/>
      <c r="H605" s="42"/>
      <c r="I605" s="22"/>
      <c r="K605" s="43"/>
    </row>
    <row r="606" ht="22.5" customHeight="1">
      <c r="B606" s="19"/>
      <c r="C606" s="19"/>
      <c r="E606" s="20"/>
      <c r="F606" s="21"/>
      <c r="G606" s="42"/>
      <c r="H606" s="42"/>
      <c r="I606" s="22"/>
      <c r="K606" s="43"/>
    </row>
    <row r="607" ht="22.5" customHeight="1">
      <c r="B607" s="19"/>
      <c r="C607" s="19"/>
      <c r="E607" s="20"/>
      <c r="F607" s="21"/>
      <c r="G607" s="42"/>
      <c r="H607" s="42"/>
      <c r="I607" s="22"/>
      <c r="K607" s="43"/>
    </row>
    <row r="608" ht="22.5" customHeight="1">
      <c r="B608" s="19"/>
      <c r="C608" s="19"/>
      <c r="E608" s="20"/>
      <c r="F608" s="21"/>
      <c r="G608" s="42"/>
      <c r="H608" s="42"/>
      <c r="I608" s="22"/>
      <c r="K608" s="43"/>
    </row>
    <row r="609" ht="22.5" customHeight="1">
      <c r="B609" s="19"/>
      <c r="C609" s="19"/>
      <c r="E609" s="20"/>
      <c r="F609" s="21"/>
      <c r="G609" s="42"/>
      <c r="H609" s="42"/>
      <c r="I609" s="22"/>
      <c r="K609" s="43"/>
    </row>
    <row r="610" ht="22.5" customHeight="1">
      <c r="B610" s="19"/>
      <c r="C610" s="19"/>
      <c r="E610" s="20"/>
      <c r="F610" s="21"/>
      <c r="G610" s="42"/>
      <c r="H610" s="42"/>
      <c r="I610" s="22"/>
      <c r="K610" s="43"/>
    </row>
    <row r="611" ht="22.5" customHeight="1">
      <c r="B611" s="19"/>
      <c r="C611" s="19"/>
      <c r="E611" s="20"/>
      <c r="F611" s="21"/>
      <c r="G611" s="42"/>
      <c r="H611" s="42"/>
      <c r="I611" s="22"/>
      <c r="K611" s="43"/>
    </row>
    <row r="612" ht="22.5" customHeight="1">
      <c r="B612" s="19"/>
      <c r="C612" s="19"/>
      <c r="E612" s="20"/>
      <c r="F612" s="21"/>
      <c r="G612" s="42"/>
      <c r="H612" s="42"/>
      <c r="I612" s="22"/>
      <c r="K612" s="43"/>
    </row>
    <row r="613" ht="22.5" customHeight="1">
      <c r="B613" s="19"/>
      <c r="C613" s="19"/>
      <c r="E613" s="20"/>
      <c r="F613" s="21"/>
      <c r="G613" s="42"/>
      <c r="H613" s="42"/>
      <c r="I613" s="22"/>
      <c r="K613" s="43"/>
    </row>
    <row r="614" ht="22.5" customHeight="1">
      <c r="B614" s="19"/>
      <c r="C614" s="19"/>
      <c r="E614" s="20"/>
      <c r="F614" s="21"/>
      <c r="G614" s="42"/>
      <c r="H614" s="42"/>
      <c r="I614" s="22"/>
      <c r="K614" s="43"/>
    </row>
    <row r="615" ht="22.5" customHeight="1">
      <c r="B615" s="19"/>
      <c r="C615" s="19"/>
      <c r="E615" s="20"/>
      <c r="F615" s="21"/>
      <c r="G615" s="42"/>
      <c r="H615" s="42"/>
      <c r="I615" s="22"/>
      <c r="K615" s="43"/>
    </row>
    <row r="616" ht="22.5" customHeight="1">
      <c r="B616" s="19"/>
      <c r="C616" s="19"/>
      <c r="E616" s="20"/>
      <c r="F616" s="21"/>
      <c r="G616" s="42"/>
      <c r="H616" s="42"/>
      <c r="I616" s="22"/>
      <c r="K616" s="43"/>
    </row>
    <row r="617" ht="22.5" customHeight="1">
      <c r="B617" s="19"/>
      <c r="C617" s="19"/>
      <c r="E617" s="20"/>
      <c r="F617" s="21"/>
      <c r="G617" s="42"/>
      <c r="H617" s="42"/>
      <c r="I617" s="22"/>
      <c r="K617" s="43"/>
    </row>
    <row r="618" ht="22.5" customHeight="1">
      <c r="B618" s="19"/>
      <c r="C618" s="19"/>
      <c r="E618" s="20"/>
      <c r="F618" s="21"/>
      <c r="G618" s="42"/>
      <c r="H618" s="42"/>
      <c r="I618" s="22"/>
      <c r="K618" s="43"/>
    </row>
    <row r="619" ht="22.5" customHeight="1">
      <c r="B619" s="19"/>
      <c r="C619" s="19"/>
      <c r="E619" s="20"/>
      <c r="F619" s="21"/>
      <c r="G619" s="42"/>
      <c r="H619" s="42"/>
      <c r="I619" s="22"/>
      <c r="K619" s="43"/>
    </row>
    <row r="620" ht="22.5" customHeight="1">
      <c r="B620" s="19"/>
      <c r="C620" s="19"/>
      <c r="E620" s="20"/>
      <c r="F620" s="21"/>
      <c r="G620" s="42"/>
      <c r="H620" s="42"/>
      <c r="I620" s="22"/>
      <c r="K620" s="43"/>
    </row>
    <row r="621" ht="22.5" customHeight="1">
      <c r="B621" s="19"/>
      <c r="C621" s="19"/>
      <c r="E621" s="20"/>
      <c r="F621" s="21"/>
      <c r="G621" s="42"/>
      <c r="H621" s="42"/>
      <c r="I621" s="22"/>
      <c r="K621" s="43"/>
    </row>
    <row r="622" ht="22.5" customHeight="1">
      <c r="B622" s="19"/>
      <c r="C622" s="19"/>
      <c r="E622" s="20"/>
      <c r="F622" s="21"/>
      <c r="G622" s="42"/>
      <c r="H622" s="42"/>
      <c r="I622" s="22"/>
      <c r="K622" s="43"/>
    </row>
    <row r="623" ht="22.5" customHeight="1">
      <c r="B623" s="19"/>
      <c r="C623" s="19"/>
      <c r="E623" s="20"/>
      <c r="F623" s="21"/>
      <c r="G623" s="42"/>
      <c r="H623" s="42"/>
      <c r="I623" s="22"/>
      <c r="K623" s="43"/>
    </row>
    <row r="624" ht="22.5" customHeight="1">
      <c r="B624" s="19"/>
      <c r="C624" s="19"/>
      <c r="E624" s="20"/>
      <c r="F624" s="21"/>
      <c r="G624" s="42"/>
      <c r="H624" s="42"/>
      <c r="I624" s="22"/>
      <c r="K624" s="43"/>
    </row>
    <row r="625" ht="22.5" customHeight="1">
      <c r="B625" s="19"/>
      <c r="C625" s="19"/>
      <c r="E625" s="20"/>
      <c r="F625" s="21"/>
      <c r="G625" s="42"/>
      <c r="H625" s="42"/>
      <c r="I625" s="22"/>
      <c r="K625" s="43"/>
    </row>
    <row r="626" ht="22.5" customHeight="1">
      <c r="B626" s="19"/>
      <c r="C626" s="19"/>
      <c r="E626" s="20"/>
      <c r="F626" s="21"/>
      <c r="G626" s="42"/>
      <c r="H626" s="42"/>
      <c r="I626" s="22"/>
      <c r="K626" s="43"/>
    </row>
    <row r="627" ht="22.5" customHeight="1">
      <c r="B627" s="19"/>
      <c r="C627" s="19"/>
      <c r="E627" s="20"/>
      <c r="F627" s="21"/>
      <c r="G627" s="42"/>
      <c r="H627" s="42"/>
      <c r="I627" s="22"/>
      <c r="K627" s="43"/>
    </row>
    <row r="628" ht="22.5" customHeight="1">
      <c r="B628" s="19"/>
      <c r="C628" s="19"/>
      <c r="E628" s="20"/>
      <c r="F628" s="21"/>
      <c r="G628" s="42"/>
      <c r="H628" s="42"/>
      <c r="I628" s="22"/>
      <c r="K628" s="43"/>
    </row>
    <row r="629" ht="22.5" customHeight="1">
      <c r="B629" s="19"/>
      <c r="C629" s="19"/>
      <c r="E629" s="20"/>
      <c r="F629" s="21"/>
      <c r="G629" s="42"/>
      <c r="H629" s="42"/>
      <c r="I629" s="22"/>
      <c r="K629" s="43"/>
    </row>
    <row r="630" ht="22.5" customHeight="1">
      <c r="B630" s="19"/>
      <c r="C630" s="19"/>
      <c r="E630" s="20"/>
      <c r="F630" s="21"/>
      <c r="G630" s="42"/>
      <c r="H630" s="42"/>
      <c r="I630" s="22"/>
      <c r="K630" s="43"/>
    </row>
    <row r="631" ht="22.5" customHeight="1">
      <c r="B631" s="19"/>
      <c r="C631" s="19"/>
      <c r="E631" s="20"/>
      <c r="F631" s="21"/>
      <c r="G631" s="42"/>
      <c r="H631" s="42"/>
      <c r="I631" s="22"/>
      <c r="K631" s="43"/>
    </row>
    <row r="632" ht="22.5" customHeight="1">
      <c r="B632" s="19"/>
      <c r="C632" s="19"/>
      <c r="E632" s="20"/>
      <c r="F632" s="21"/>
      <c r="G632" s="42"/>
      <c r="H632" s="42"/>
      <c r="I632" s="22"/>
      <c r="K632" s="43"/>
    </row>
    <row r="633" ht="22.5" customHeight="1">
      <c r="B633" s="19"/>
      <c r="C633" s="19"/>
      <c r="E633" s="20"/>
      <c r="F633" s="21"/>
      <c r="G633" s="42"/>
      <c r="H633" s="42"/>
      <c r="I633" s="22"/>
      <c r="K633" s="43"/>
    </row>
    <row r="634" ht="22.5" customHeight="1">
      <c r="B634" s="19"/>
      <c r="C634" s="19"/>
      <c r="E634" s="20"/>
      <c r="F634" s="21"/>
      <c r="G634" s="42"/>
      <c r="H634" s="42"/>
      <c r="I634" s="22"/>
      <c r="K634" s="43"/>
    </row>
    <row r="635" ht="22.5" customHeight="1">
      <c r="B635" s="19"/>
      <c r="C635" s="19"/>
      <c r="E635" s="20"/>
      <c r="F635" s="21"/>
      <c r="G635" s="42"/>
      <c r="H635" s="42"/>
      <c r="I635" s="22"/>
      <c r="K635" s="43"/>
    </row>
    <row r="636" ht="22.5" customHeight="1">
      <c r="B636" s="19"/>
      <c r="C636" s="19"/>
      <c r="E636" s="20"/>
      <c r="F636" s="21"/>
      <c r="G636" s="42"/>
      <c r="H636" s="42"/>
      <c r="I636" s="22"/>
      <c r="K636" s="43"/>
    </row>
    <row r="637" ht="22.5" customHeight="1">
      <c r="B637" s="19"/>
      <c r="C637" s="19"/>
      <c r="E637" s="20"/>
      <c r="F637" s="21"/>
      <c r="G637" s="42"/>
      <c r="H637" s="42"/>
      <c r="I637" s="22"/>
      <c r="K637" s="43"/>
    </row>
    <row r="638" ht="22.5" customHeight="1">
      <c r="B638" s="19"/>
      <c r="C638" s="19"/>
      <c r="E638" s="20"/>
      <c r="F638" s="21"/>
      <c r="G638" s="42"/>
      <c r="H638" s="42"/>
      <c r="I638" s="22"/>
      <c r="K638" s="43"/>
    </row>
    <row r="639" ht="22.5" customHeight="1">
      <c r="B639" s="19"/>
      <c r="C639" s="19"/>
      <c r="E639" s="20"/>
      <c r="F639" s="21"/>
      <c r="G639" s="42"/>
      <c r="H639" s="42"/>
      <c r="I639" s="22"/>
      <c r="K639" s="43"/>
    </row>
    <row r="640" ht="22.5" customHeight="1">
      <c r="B640" s="19"/>
      <c r="C640" s="19"/>
      <c r="E640" s="20"/>
      <c r="F640" s="21"/>
      <c r="G640" s="42"/>
      <c r="H640" s="42"/>
      <c r="I640" s="22"/>
      <c r="K640" s="43"/>
    </row>
    <row r="641" ht="22.5" customHeight="1">
      <c r="B641" s="19"/>
      <c r="C641" s="19"/>
      <c r="E641" s="20"/>
      <c r="F641" s="21"/>
      <c r="G641" s="42"/>
      <c r="H641" s="42"/>
      <c r="I641" s="22"/>
      <c r="K641" s="43"/>
    </row>
    <row r="642" ht="22.5" customHeight="1">
      <c r="B642" s="19"/>
      <c r="C642" s="19"/>
      <c r="E642" s="20"/>
      <c r="F642" s="21"/>
      <c r="G642" s="42"/>
      <c r="H642" s="42"/>
      <c r="I642" s="22"/>
      <c r="K642" s="43"/>
    </row>
    <row r="643" ht="22.5" customHeight="1">
      <c r="B643" s="19"/>
      <c r="C643" s="19"/>
      <c r="E643" s="20"/>
      <c r="F643" s="21"/>
      <c r="G643" s="42"/>
      <c r="H643" s="42"/>
      <c r="I643" s="22"/>
      <c r="K643" s="43"/>
    </row>
    <row r="644" ht="22.5" customHeight="1">
      <c r="B644" s="19"/>
      <c r="C644" s="19"/>
      <c r="E644" s="20"/>
      <c r="F644" s="21"/>
      <c r="G644" s="42"/>
      <c r="H644" s="42"/>
      <c r="I644" s="22"/>
      <c r="K644" s="43"/>
    </row>
    <row r="645" ht="22.5" customHeight="1">
      <c r="B645" s="19"/>
      <c r="C645" s="19"/>
      <c r="E645" s="20"/>
      <c r="F645" s="21"/>
      <c r="G645" s="42"/>
      <c r="H645" s="42"/>
      <c r="I645" s="22"/>
      <c r="K645" s="43"/>
    </row>
    <row r="646" ht="22.5" customHeight="1">
      <c r="B646" s="19"/>
      <c r="C646" s="19"/>
      <c r="E646" s="20"/>
      <c r="F646" s="21"/>
      <c r="G646" s="42"/>
      <c r="H646" s="42"/>
      <c r="I646" s="22"/>
      <c r="K646" s="43"/>
    </row>
    <row r="647" ht="22.5" customHeight="1">
      <c r="B647" s="19"/>
      <c r="C647" s="19"/>
      <c r="E647" s="20"/>
      <c r="F647" s="21"/>
      <c r="G647" s="42"/>
      <c r="H647" s="42"/>
      <c r="I647" s="22"/>
      <c r="K647" s="43"/>
    </row>
    <row r="648" ht="22.5" customHeight="1">
      <c r="B648" s="19"/>
      <c r="C648" s="19"/>
      <c r="E648" s="20"/>
      <c r="F648" s="21"/>
      <c r="G648" s="42"/>
      <c r="H648" s="42"/>
      <c r="I648" s="22"/>
      <c r="K648" s="43"/>
    </row>
    <row r="649" ht="22.5" customHeight="1">
      <c r="B649" s="19"/>
      <c r="C649" s="19"/>
      <c r="E649" s="20"/>
      <c r="F649" s="21"/>
      <c r="G649" s="42"/>
      <c r="H649" s="42"/>
      <c r="I649" s="22"/>
      <c r="K649" s="43"/>
    </row>
    <row r="650" ht="22.5" customHeight="1">
      <c r="B650" s="19"/>
      <c r="C650" s="19"/>
      <c r="E650" s="20"/>
      <c r="F650" s="21"/>
      <c r="G650" s="42"/>
      <c r="H650" s="42"/>
      <c r="I650" s="22"/>
      <c r="K650" s="43"/>
    </row>
    <row r="651" ht="22.5" customHeight="1">
      <c r="B651" s="19"/>
      <c r="C651" s="19"/>
      <c r="E651" s="20"/>
      <c r="F651" s="21"/>
      <c r="G651" s="42"/>
      <c r="H651" s="42"/>
      <c r="I651" s="22"/>
      <c r="K651" s="43"/>
    </row>
    <row r="652" ht="22.5" customHeight="1">
      <c r="B652" s="19"/>
      <c r="C652" s="19"/>
      <c r="E652" s="20"/>
      <c r="F652" s="21"/>
      <c r="G652" s="42"/>
      <c r="H652" s="42"/>
      <c r="I652" s="22"/>
      <c r="K652" s="43"/>
    </row>
    <row r="653" ht="22.5" customHeight="1">
      <c r="B653" s="19"/>
      <c r="C653" s="19"/>
      <c r="E653" s="20"/>
      <c r="F653" s="21"/>
      <c r="G653" s="42"/>
      <c r="H653" s="42"/>
      <c r="I653" s="22"/>
      <c r="K653" s="43"/>
    </row>
    <row r="654" ht="22.5" customHeight="1">
      <c r="B654" s="19"/>
      <c r="C654" s="19"/>
      <c r="E654" s="20"/>
      <c r="F654" s="21"/>
      <c r="G654" s="42"/>
      <c r="H654" s="42"/>
      <c r="I654" s="22"/>
      <c r="K654" s="43"/>
    </row>
    <row r="655" ht="22.5" customHeight="1">
      <c r="B655" s="19"/>
      <c r="C655" s="19"/>
      <c r="E655" s="20"/>
      <c r="F655" s="21"/>
      <c r="G655" s="42"/>
      <c r="H655" s="42"/>
      <c r="I655" s="22"/>
      <c r="K655" s="43"/>
    </row>
    <row r="656" ht="22.5" customHeight="1">
      <c r="B656" s="19"/>
      <c r="C656" s="19"/>
      <c r="E656" s="20"/>
      <c r="F656" s="21"/>
      <c r="G656" s="42"/>
      <c r="H656" s="42"/>
      <c r="I656" s="22"/>
      <c r="K656" s="43"/>
    </row>
    <row r="657" ht="22.5" customHeight="1">
      <c r="B657" s="19"/>
      <c r="C657" s="19"/>
      <c r="E657" s="20"/>
      <c r="F657" s="21"/>
      <c r="G657" s="42"/>
      <c r="H657" s="42"/>
      <c r="I657" s="22"/>
      <c r="K657" s="43"/>
    </row>
    <row r="658" ht="22.5" customHeight="1">
      <c r="B658" s="19"/>
      <c r="C658" s="19"/>
      <c r="E658" s="20"/>
      <c r="F658" s="21"/>
      <c r="G658" s="42"/>
      <c r="H658" s="42"/>
      <c r="I658" s="22"/>
      <c r="K658" s="43"/>
    </row>
    <row r="659" ht="22.5" customHeight="1">
      <c r="B659" s="19"/>
      <c r="C659" s="19"/>
      <c r="E659" s="20"/>
      <c r="F659" s="21"/>
      <c r="G659" s="42"/>
      <c r="H659" s="42"/>
      <c r="I659" s="22"/>
      <c r="K659" s="43"/>
    </row>
    <row r="660" ht="22.5" customHeight="1">
      <c r="B660" s="19"/>
      <c r="C660" s="19"/>
      <c r="E660" s="20"/>
      <c r="F660" s="21"/>
      <c r="G660" s="42"/>
      <c r="H660" s="42"/>
      <c r="I660" s="22"/>
      <c r="K660" s="43"/>
    </row>
    <row r="661" ht="22.5" customHeight="1">
      <c r="B661" s="19"/>
      <c r="C661" s="19"/>
      <c r="E661" s="20"/>
      <c r="F661" s="21"/>
      <c r="G661" s="42"/>
      <c r="H661" s="42"/>
      <c r="I661" s="22"/>
      <c r="K661" s="43"/>
    </row>
    <row r="662" ht="22.5" customHeight="1">
      <c r="B662" s="19"/>
      <c r="C662" s="19"/>
      <c r="E662" s="20"/>
      <c r="F662" s="21"/>
      <c r="G662" s="42"/>
      <c r="H662" s="42"/>
      <c r="I662" s="22"/>
      <c r="K662" s="43"/>
    </row>
    <row r="663" ht="22.5" customHeight="1">
      <c r="B663" s="19"/>
      <c r="C663" s="19"/>
      <c r="E663" s="20"/>
      <c r="F663" s="21"/>
      <c r="G663" s="42"/>
      <c r="H663" s="42"/>
      <c r="I663" s="22"/>
      <c r="K663" s="43"/>
    </row>
    <row r="664" ht="22.5" customHeight="1">
      <c r="B664" s="19"/>
      <c r="C664" s="19"/>
      <c r="E664" s="20"/>
      <c r="F664" s="21"/>
      <c r="G664" s="42"/>
      <c r="H664" s="42"/>
      <c r="I664" s="22"/>
      <c r="K664" s="43"/>
    </row>
    <row r="665" ht="22.5" customHeight="1">
      <c r="B665" s="19"/>
      <c r="C665" s="19"/>
      <c r="E665" s="20"/>
      <c r="F665" s="21"/>
      <c r="G665" s="42"/>
      <c r="H665" s="42"/>
      <c r="I665" s="22"/>
      <c r="K665" s="43"/>
    </row>
    <row r="666" ht="22.5" customHeight="1">
      <c r="B666" s="19"/>
      <c r="C666" s="19"/>
      <c r="E666" s="20"/>
      <c r="F666" s="21"/>
      <c r="G666" s="42"/>
      <c r="H666" s="42"/>
      <c r="I666" s="22"/>
      <c r="K666" s="43"/>
    </row>
    <row r="667" ht="22.5" customHeight="1">
      <c r="B667" s="19"/>
      <c r="C667" s="19"/>
      <c r="E667" s="20"/>
      <c r="F667" s="21"/>
      <c r="G667" s="42"/>
      <c r="H667" s="42"/>
      <c r="I667" s="22"/>
      <c r="K667" s="43"/>
    </row>
    <row r="668" ht="22.5" customHeight="1">
      <c r="B668" s="19"/>
      <c r="C668" s="19"/>
      <c r="E668" s="20"/>
      <c r="F668" s="21"/>
      <c r="G668" s="42"/>
      <c r="H668" s="42"/>
      <c r="I668" s="22"/>
      <c r="K668" s="43"/>
    </row>
    <row r="669" ht="22.5" customHeight="1">
      <c r="B669" s="19"/>
      <c r="C669" s="19"/>
      <c r="E669" s="20"/>
      <c r="F669" s="21"/>
      <c r="G669" s="42"/>
      <c r="H669" s="42"/>
      <c r="I669" s="22"/>
      <c r="K669" s="43"/>
    </row>
    <row r="670" ht="22.5" customHeight="1">
      <c r="B670" s="19"/>
      <c r="C670" s="19"/>
      <c r="E670" s="20"/>
      <c r="F670" s="21"/>
      <c r="G670" s="42"/>
      <c r="H670" s="42"/>
      <c r="I670" s="22"/>
      <c r="K670" s="43"/>
    </row>
    <row r="671" ht="22.5" customHeight="1">
      <c r="B671" s="19"/>
      <c r="C671" s="19"/>
      <c r="E671" s="20"/>
      <c r="F671" s="21"/>
      <c r="G671" s="42"/>
      <c r="H671" s="42"/>
      <c r="I671" s="22"/>
      <c r="K671" s="43"/>
    </row>
    <row r="672" ht="22.5" customHeight="1">
      <c r="B672" s="19"/>
      <c r="C672" s="19"/>
      <c r="E672" s="20"/>
      <c r="F672" s="21"/>
      <c r="G672" s="42"/>
      <c r="H672" s="42"/>
      <c r="I672" s="22"/>
      <c r="K672" s="43"/>
    </row>
    <row r="673" ht="22.5" customHeight="1">
      <c r="B673" s="19"/>
      <c r="C673" s="19"/>
      <c r="E673" s="20"/>
      <c r="F673" s="21"/>
      <c r="G673" s="42"/>
      <c r="H673" s="42"/>
      <c r="I673" s="22"/>
      <c r="K673" s="43"/>
    </row>
    <row r="674" ht="22.5" customHeight="1">
      <c r="B674" s="19"/>
      <c r="C674" s="19"/>
      <c r="E674" s="20"/>
      <c r="F674" s="21"/>
      <c r="G674" s="42"/>
      <c r="H674" s="42"/>
      <c r="I674" s="22"/>
      <c r="K674" s="43"/>
    </row>
    <row r="675" ht="22.5" customHeight="1">
      <c r="B675" s="19"/>
      <c r="C675" s="19"/>
      <c r="E675" s="20"/>
      <c r="F675" s="21"/>
      <c r="G675" s="42"/>
      <c r="H675" s="42"/>
      <c r="I675" s="22"/>
      <c r="K675" s="43"/>
    </row>
    <row r="676" ht="22.5" customHeight="1">
      <c r="B676" s="19"/>
      <c r="C676" s="19"/>
      <c r="E676" s="20"/>
      <c r="F676" s="21"/>
      <c r="G676" s="42"/>
      <c r="H676" s="42"/>
      <c r="I676" s="22"/>
      <c r="K676" s="43"/>
    </row>
    <row r="677" ht="22.5" customHeight="1">
      <c r="B677" s="19"/>
      <c r="C677" s="19"/>
      <c r="E677" s="20"/>
      <c r="F677" s="21"/>
      <c r="G677" s="42"/>
      <c r="H677" s="42"/>
      <c r="I677" s="22"/>
      <c r="K677" s="43"/>
    </row>
    <row r="678" ht="22.5" customHeight="1">
      <c r="B678" s="19"/>
      <c r="C678" s="19"/>
      <c r="E678" s="20"/>
      <c r="F678" s="21"/>
      <c r="G678" s="42"/>
      <c r="H678" s="42"/>
      <c r="I678" s="22"/>
      <c r="K678" s="43"/>
    </row>
    <row r="679" ht="22.5" customHeight="1">
      <c r="B679" s="19"/>
      <c r="C679" s="19"/>
      <c r="E679" s="20"/>
      <c r="F679" s="21"/>
      <c r="G679" s="42"/>
      <c r="H679" s="42"/>
      <c r="I679" s="22"/>
      <c r="K679" s="43"/>
    </row>
    <row r="680" ht="22.5" customHeight="1">
      <c r="B680" s="19"/>
      <c r="C680" s="19"/>
      <c r="E680" s="20"/>
      <c r="F680" s="21"/>
      <c r="G680" s="42"/>
      <c r="H680" s="42"/>
      <c r="I680" s="22"/>
      <c r="K680" s="43"/>
    </row>
    <row r="681" ht="22.5" customHeight="1">
      <c r="B681" s="19"/>
      <c r="C681" s="19"/>
      <c r="E681" s="20"/>
      <c r="F681" s="21"/>
      <c r="G681" s="42"/>
      <c r="H681" s="42"/>
      <c r="I681" s="22"/>
      <c r="K681" s="43"/>
    </row>
    <row r="682" ht="22.5" customHeight="1">
      <c r="B682" s="19"/>
      <c r="C682" s="19"/>
      <c r="E682" s="20"/>
      <c r="F682" s="21"/>
      <c r="G682" s="42"/>
      <c r="H682" s="42"/>
      <c r="I682" s="22"/>
      <c r="K682" s="43"/>
    </row>
    <row r="683" ht="22.5" customHeight="1">
      <c r="B683" s="19"/>
      <c r="C683" s="19"/>
      <c r="E683" s="20"/>
      <c r="F683" s="21"/>
      <c r="G683" s="42"/>
      <c r="H683" s="42"/>
      <c r="I683" s="22"/>
      <c r="K683" s="43"/>
    </row>
    <row r="684" ht="22.5" customHeight="1">
      <c r="B684" s="19"/>
      <c r="C684" s="19"/>
      <c r="E684" s="20"/>
      <c r="F684" s="21"/>
      <c r="G684" s="42"/>
      <c r="H684" s="42"/>
      <c r="I684" s="22"/>
      <c r="K684" s="43"/>
    </row>
    <row r="685" ht="22.5" customHeight="1">
      <c r="B685" s="19"/>
      <c r="C685" s="19"/>
      <c r="E685" s="20"/>
      <c r="F685" s="21"/>
      <c r="G685" s="42"/>
      <c r="H685" s="42"/>
      <c r="I685" s="22"/>
      <c r="K685" s="43"/>
    </row>
    <row r="686" ht="22.5" customHeight="1">
      <c r="B686" s="19"/>
      <c r="C686" s="19"/>
      <c r="E686" s="20"/>
      <c r="F686" s="21"/>
      <c r="G686" s="42"/>
      <c r="H686" s="42"/>
      <c r="I686" s="22"/>
      <c r="K686" s="43"/>
    </row>
    <row r="687" ht="22.5" customHeight="1">
      <c r="B687" s="19"/>
      <c r="C687" s="19"/>
      <c r="E687" s="20"/>
      <c r="F687" s="21"/>
      <c r="G687" s="42"/>
      <c r="H687" s="42"/>
      <c r="I687" s="22"/>
      <c r="K687" s="43"/>
    </row>
    <row r="688" ht="22.5" customHeight="1">
      <c r="B688" s="19"/>
      <c r="C688" s="19"/>
      <c r="E688" s="20"/>
      <c r="F688" s="21"/>
      <c r="G688" s="42"/>
      <c r="H688" s="42"/>
      <c r="I688" s="22"/>
      <c r="K688" s="43"/>
    </row>
    <row r="689" ht="22.5" customHeight="1">
      <c r="B689" s="19"/>
      <c r="C689" s="19"/>
      <c r="E689" s="20"/>
      <c r="F689" s="21"/>
      <c r="G689" s="42"/>
      <c r="H689" s="42"/>
      <c r="I689" s="22"/>
      <c r="K689" s="43"/>
    </row>
    <row r="690" ht="22.5" customHeight="1">
      <c r="B690" s="19"/>
      <c r="C690" s="19"/>
      <c r="E690" s="20"/>
      <c r="F690" s="21"/>
      <c r="G690" s="42"/>
      <c r="H690" s="42"/>
      <c r="I690" s="22"/>
      <c r="K690" s="43"/>
    </row>
    <row r="691" ht="22.5" customHeight="1">
      <c r="B691" s="19"/>
      <c r="C691" s="19"/>
      <c r="E691" s="20"/>
      <c r="F691" s="21"/>
      <c r="G691" s="42"/>
      <c r="H691" s="42"/>
      <c r="I691" s="22"/>
      <c r="K691" s="43"/>
    </row>
    <row r="692" ht="22.5" customHeight="1">
      <c r="B692" s="19"/>
      <c r="C692" s="19"/>
      <c r="E692" s="20"/>
      <c r="F692" s="21"/>
      <c r="G692" s="42"/>
      <c r="H692" s="42"/>
      <c r="I692" s="22"/>
      <c r="K692" s="43"/>
    </row>
    <row r="693" ht="22.5" customHeight="1">
      <c r="B693" s="19"/>
      <c r="C693" s="19"/>
      <c r="E693" s="20"/>
      <c r="F693" s="21"/>
      <c r="G693" s="42"/>
      <c r="H693" s="42"/>
      <c r="I693" s="22"/>
      <c r="K693" s="43"/>
    </row>
    <row r="694" ht="22.5" customHeight="1">
      <c r="B694" s="19"/>
      <c r="C694" s="19"/>
      <c r="E694" s="20"/>
      <c r="F694" s="21"/>
      <c r="G694" s="42"/>
      <c r="H694" s="42"/>
      <c r="I694" s="22"/>
      <c r="K694" s="43"/>
    </row>
    <row r="695" ht="22.5" customHeight="1">
      <c r="B695" s="19"/>
      <c r="C695" s="19"/>
      <c r="E695" s="20"/>
      <c r="F695" s="21"/>
      <c r="G695" s="42"/>
      <c r="H695" s="42"/>
      <c r="I695" s="22"/>
      <c r="K695" s="43"/>
    </row>
  </sheetData>
  <dataValidations>
    <dataValidation type="list" allowBlank="1" showInputMessage="1" prompt="Cliquez ici et saisissez une valeur dans la liste des éléments" sqref="I2:I695">
      <formula1>"Abritel,Airbnb,Chèque,Espèces,HomeExchange,Virement,A définir,Gites de France"</formula1>
    </dataValidation>
    <dataValidation type="custom" allowBlank="1" showDropDown="1" sqref="B2:C695">
      <formula1>OR(NOT(ISERROR(DATEVALUE(B2))), AND(ISNUMBER(B2), LEFT(CELL("format", B2))="D"))</formula1>
    </dataValidation>
    <dataValidation type="custom" allowBlank="1" showDropDown="1" sqref="E2:H695">
      <formula1>AND(ISNUMBER(E2),(NOT(OR(NOT(ISERROR(DATEVALUE(E2))), AND(ISNUMBER(E2), LEFT(CELL("format", E2))="D")))))</formula1>
    </dataValidation>
    <dataValidation allowBlank="1" showDropDown="1" sqref="K2:K69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3.25"/>
    <col customWidth="1" min="3" max="3" width="11.13"/>
    <col customWidth="1" min="4" max="4" width="14.13"/>
    <col customWidth="1" min="5" max="5" width="11.88"/>
    <col customWidth="1" min="6" max="6" width="13.63"/>
    <col customWidth="1" min="7" max="7" width="16.25"/>
    <col customWidth="1" min="8" max="8" width="15.0"/>
    <col customWidth="1" min="9" max="9" width="15.75"/>
    <col customWidth="1" min="10" max="10" width="40.13"/>
    <col customWidth="1" min="11" max="11" width="17.38"/>
    <col customWidth="1" min="12" max="18" width="13.0"/>
    <col customWidth="1" min="19" max="25" width="13.88"/>
  </cols>
  <sheetData>
    <row r="1" ht="22.5" customHeight="1">
      <c r="A1" s="7" t="s">
        <v>201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85" t="s">
        <v>20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202</v>
      </c>
      <c r="V1" s="9" t="s">
        <v>21</v>
      </c>
      <c r="W1" s="9" t="s">
        <v>22</v>
      </c>
      <c r="X1" s="9" t="s">
        <v>23</v>
      </c>
      <c r="Y1" s="9" t="s">
        <v>113</v>
      </c>
    </row>
    <row r="2" ht="22.5" customHeight="1">
      <c r="A2" s="10" t="s">
        <v>75</v>
      </c>
      <c r="B2" s="11">
        <v>45658.0</v>
      </c>
      <c r="C2" s="11">
        <v>45660.0</v>
      </c>
      <c r="D2" s="86" t="str">
        <f t="shared" ref="D2:D14" si="1">TEXT(B2 ,"mm (mmmm)")</f>
        <v>01 (janvier)</v>
      </c>
      <c r="E2" s="45">
        <f t="shared" ref="E2:E14" si="2">C2-B2</f>
        <v>2</v>
      </c>
      <c r="F2" s="46">
        <v>2.0</v>
      </c>
      <c r="G2" s="87">
        <v>58.0</v>
      </c>
      <c r="H2" s="88">
        <f t="shared" ref="H2:H14" si="3">G2*E2</f>
        <v>116</v>
      </c>
      <c r="I2" s="89" t="s">
        <v>25</v>
      </c>
      <c r="J2" s="48"/>
      <c r="K2" s="43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ht="22.5" customHeight="1">
      <c r="A3" s="10" t="s">
        <v>203</v>
      </c>
      <c r="B3" s="11">
        <v>45660.0</v>
      </c>
      <c r="C3" s="11">
        <v>45662.0</v>
      </c>
      <c r="D3" s="86" t="str">
        <f t="shared" si="1"/>
        <v>01 (janvier)</v>
      </c>
      <c r="E3" s="45">
        <f t="shared" si="2"/>
        <v>2</v>
      </c>
      <c r="F3" s="46">
        <v>2.0</v>
      </c>
      <c r="G3" s="87">
        <v>50.0</v>
      </c>
      <c r="H3" s="88">
        <f t="shared" si="3"/>
        <v>100</v>
      </c>
      <c r="I3" s="89" t="s">
        <v>25</v>
      </c>
      <c r="K3" s="43"/>
    </row>
    <row r="4" ht="22.5" customHeight="1">
      <c r="A4" s="10" t="s">
        <v>204</v>
      </c>
      <c r="B4" s="11">
        <v>45665.0</v>
      </c>
      <c r="C4" s="11">
        <v>45666.0</v>
      </c>
      <c r="D4" s="86" t="str">
        <f t="shared" si="1"/>
        <v>01 (janvier)</v>
      </c>
      <c r="E4" s="45">
        <f t="shared" si="2"/>
        <v>1</v>
      </c>
      <c r="F4" s="46">
        <v>2.0</v>
      </c>
      <c r="G4" s="87">
        <v>40.0</v>
      </c>
      <c r="H4" s="88">
        <f t="shared" si="3"/>
        <v>40</v>
      </c>
      <c r="I4" s="89" t="s">
        <v>25</v>
      </c>
      <c r="K4" s="43"/>
    </row>
    <row r="5" ht="22.5" customHeight="1">
      <c r="A5" s="10" t="s">
        <v>205</v>
      </c>
      <c r="B5" s="11">
        <v>45667.0</v>
      </c>
      <c r="C5" s="11">
        <v>45669.0</v>
      </c>
      <c r="D5" s="86" t="str">
        <f t="shared" si="1"/>
        <v>01 (janvier)</v>
      </c>
      <c r="E5" s="45">
        <f t="shared" si="2"/>
        <v>2</v>
      </c>
      <c r="F5" s="46">
        <v>2.0</v>
      </c>
      <c r="G5" s="87">
        <v>50.0</v>
      </c>
      <c r="H5" s="88">
        <f t="shared" si="3"/>
        <v>100</v>
      </c>
      <c r="I5" s="89" t="s">
        <v>25</v>
      </c>
      <c r="K5" s="43"/>
    </row>
    <row r="6" ht="22.5" customHeight="1">
      <c r="A6" s="10" t="s">
        <v>206</v>
      </c>
      <c r="B6" s="11">
        <v>45673.0</v>
      </c>
      <c r="C6" s="11">
        <v>45674.0</v>
      </c>
      <c r="D6" s="86" t="str">
        <f t="shared" si="1"/>
        <v>01 (janvier)</v>
      </c>
      <c r="E6" s="45">
        <f t="shared" si="2"/>
        <v>1</v>
      </c>
      <c r="F6" s="46">
        <v>2.0</v>
      </c>
      <c r="G6" s="87">
        <v>40.0</v>
      </c>
      <c r="H6" s="88">
        <f t="shared" si="3"/>
        <v>40</v>
      </c>
      <c r="I6" s="89" t="s">
        <v>25</v>
      </c>
      <c r="K6" s="43"/>
    </row>
    <row r="7" ht="22.5" customHeight="1">
      <c r="A7" s="10" t="s">
        <v>207</v>
      </c>
      <c r="B7" s="11">
        <v>45674.0</v>
      </c>
      <c r="C7" s="11">
        <v>45676.0</v>
      </c>
      <c r="D7" s="86" t="str">
        <f t="shared" si="1"/>
        <v>01 (janvier)</v>
      </c>
      <c r="E7" s="45">
        <f t="shared" si="2"/>
        <v>2</v>
      </c>
      <c r="F7" s="46">
        <v>2.0</v>
      </c>
      <c r="G7" s="87">
        <v>50.0</v>
      </c>
      <c r="H7" s="88">
        <f t="shared" si="3"/>
        <v>100</v>
      </c>
      <c r="I7" s="89" t="s">
        <v>25</v>
      </c>
      <c r="K7" s="43"/>
    </row>
    <row r="8" ht="22.5" customHeight="1">
      <c r="A8" s="10" t="s">
        <v>208</v>
      </c>
      <c r="B8" s="11">
        <v>45676.0</v>
      </c>
      <c r="C8" s="11">
        <v>45677.0</v>
      </c>
      <c r="D8" s="86" t="str">
        <f t="shared" si="1"/>
        <v>01 (janvier)</v>
      </c>
      <c r="E8" s="45">
        <f t="shared" si="2"/>
        <v>1</v>
      </c>
      <c r="F8" s="46">
        <v>2.0</v>
      </c>
      <c r="G8" s="87">
        <v>40.0</v>
      </c>
      <c r="H8" s="88">
        <f t="shared" si="3"/>
        <v>40</v>
      </c>
      <c r="I8" s="89" t="s">
        <v>25</v>
      </c>
      <c r="K8" s="43"/>
    </row>
    <row r="9" ht="22.5" customHeight="1">
      <c r="A9" s="10" t="s">
        <v>209</v>
      </c>
      <c r="B9" s="11">
        <v>45681.0</v>
      </c>
      <c r="C9" s="11">
        <v>45682.0</v>
      </c>
      <c r="D9" s="86" t="str">
        <f t="shared" si="1"/>
        <v>01 (janvier)</v>
      </c>
      <c r="E9" s="45">
        <f t="shared" si="2"/>
        <v>1</v>
      </c>
      <c r="F9" s="46">
        <v>2.0</v>
      </c>
      <c r="G9" s="87">
        <v>40.0</v>
      </c>
      <c r="H9" s="88">
        <f t="shared" si="3"/>
        <v>40</v>
      </c>
      <c r="I9" s="89" t="s">
        <v>25</v>
      </c>
      <c r="K9" s="43"/>
    </row>
    <row r="10" ht="22.5" customHeight="1">
      <c r="A10" s="10" t="s">
        <v>210</v>
      </c>
      <c r="B10" s="11">
        <v>45682.0</v>
      </c>
      <c r="C10" s="11">
        <v>45683.0</v>
      </c>
      <c r="D10" s="86" t="str">
        <f t="shared" si="1"/>
        <v>01 (janvier)</v>
      </c>
      <c r="E10" s="45">
        <f t="shared" si="2"/>
        <v>1</v>
      </c>
      <c r="F10" s="46">
        <v>2.0</v>
      </c>
      <c r="G10" s="87">
        <v>50.0</v>
      </c>
      <c r="H10" s="88">
        <f t="shared" si="3"/>
        <v>50</v>
      </c>
      <c r="I10" s="89" t="s">
        <v>25</v>
      </c>
      <c r="K10" s="43"/>
    </row>
    <row r="11" ht="22.5" customHeight="1">
      <c r="A11" s="10" t="s">
        <v>204</v>
      </c>
      <c r="B11" s="11">
        <v>45684.0</v>
      </c>
      <c r="C11" s="11">
        <v>45685.0</v>
      </c>
      <c r="D11" s="86" t="str">
        <f t="shared" si="1"/>
        <v>01 (janvier)</v>
      </c>
      <c r="E11" s="45">
        <f t="shared" si="2"/>
        <v>1</v>
      </c>
      <c r="F11" s="46">
        <v>2.0</v>
      </c>
      <c r="G11" s="87">
        <v>40.0</v>
      </c>
      <c r="H11" s="88">
        <f t="shared" si="3"/>
        <v>40</v>
      </c>
      <c r="I11" s="89" t="s">
        <v>25</v>
      </c>
      <c r="K11" s="43"/>
    </row>
    <row r="12" ht="22.5" customHeight="1">
      <c r="A12" s="10" t="s">
        <v>211</v>
      </c>
      <c r="B12" s="11">
        <v>45686.0</v>
      </c>
      <c r="C12" s="11">
        <v>45687.0</v>
      </c>
      <c r="D12" s="86" t="str">
        <f t="shared" si="1"/>
        <v>01 (janvier)</v>
      </c>
      <c r="E12" s="45">
        <f t="shared" si="2"/>
        <v>1</v>
      </c>
      <c r="F12" s="46">
        <v>2.0</v>
      </c>
      <c r="G12" s="87">
        <v>40.0</v>
      </c>
      <c r="H12" s="88">
        <f t="shared" si="3"/>
        <v>40</v>
      </c>
      <c r="I12" s="89" t="s">
        <v>25</v>
      </c>
      <c r="K12" s="43"/>
    </row>
    <row r="13" ht="22.5" customHeight="1">
      <c r="A13" s="10" t="s">
        <v>212</v>
      </c>
      <c r="B13" s="11">
        <v>45687.0</v>
      </c>
      <c r="C13" s="11">
        <v>45688.0</v>
      </c>
      <c r="D13" s="86" t="str">
        <f t="shared" si="1"/>
        <v>01 (janvier)</v>
      </c>
      <c r="E13" s="45">
        <f t="shared" si="2"/>
        <v>1</v>
      </c>
      <c r="F13" s="46">
        <v>2.0</v>
      </c>
      <c r="G13" s="87">
        <v>50.0</v>
      </c>
      <c r="H13" s="88">
        <f t="shared" si="3"/>
        <v>50</v>
      </c>
      <c r="I13" s="89" t="s">
        <v>25</v>
      </c>
      <c r="K13" s="43"/>
    </row>
    <row r="14" ht="22.5" customHeight="1">
      <c r="A14" s="10" t="s">
        <v>213</v>
      </c>
      <c r="B14" s="11">
        <v>45688.0</v>
      </c>
      <c r="C14" s="11">
        <v>45689.0</v>
      </c>
      <c r="D14" s="86" t="str">
        <f t="shared" si="1"/>
        <v>01 (janvier)</v>
      </c>
      <c r="E14" s="45">
        <f t="shared" si="2"/>
        <v>1</v>
      </c>
      <c r="F14" s="46">
        <v>2.0</v>
      </c>
      <c r="G14" s="87">
        <v>45.0</v>
      </c>
      <c r="H14" s="88">
        <f t="shared" si="3"/>
        <v>45</v>
      </c>
      <c r="I14" s="89" t="s">
        <v>25</v>
      </c>
      <c r="K14" s="43"/>
    </row>
    <row r="15" ht="22.5" customHeight="1">
      <c r="B15" s="19"/>
      <c r="C15" s="19"/>
      <c r="E15" s="20"/>
      <c r="F15" s="21"/>
      <c r="G15" s="90"/>
      <c r="H15" s="42"/>
      <c r="I15" s="22"/>
      <c r="K15" s="43"/>
    </row>
    <row r="16" ht="22.5" customHeight="1">
      <c r="A16" s="10" t="s">
        <v>213</v>
      </c>
      <c r="B16" s="11">
        <v>45689.0</v>
      </c>
      <c r="C16" s="11">
        <v>45690.0</v>
      </c>
      <c r="D16" s="86" t="str">
        <f t="shared" ref="D16:D25" si="4">TEXT(B16 ,"mm (mmmm)")</f>
        <v>02 (février)</v>
      </c>
      <c r="E16" s="45">
        <f t="shared" ref="E16:E25" si="5">C16-B16</f>
        <v>1</v>
      </c>
      <c r="F16" s="46">
        <v>2.0</v>
      </c>
      <c r="G16" s="87">
        <v>45.0</v>
      </c>
      <c r="H16" s="88">
        <f t="shared" ref="H16:H25" si="6">G16*E16</f>
        <v>45</v>
      </c>
      <c r="I16" s="89" t="s">
        <v>25</v>
      </c>
      <c r="K16" s="43"/>
    </row>
    <row r="17" ht="22.5" customHeight="1">
      <c r="A17" s="10" t="s">
        <v>214</v>
      </c>
      <c r="B17" s="11">
        <v>45690.0</v>
      </c>
      <c r="C17" s="11">
        <v>45692.0</v>
      </c>
      <c r="D17" s="86" t="str">
        <f t="shared" si="4"/>
        <v>02 (février)</v>
      </c>
      <c r="E17" s="45">
        <f t="shared" si="5"/>
        <v>2</v>
      </c>
      <c r="F17" s="46">
        <v>2.0</v>
      </c>
      <c r="G17" s="87">
        <v>50.0</v>
      </c>
      <c r="H17" s="88">
        <f t="shared" si="6"/>
        <v>100</v>
      </c>
      <c r="I17" s="89" t="s">
        <v>25</v>
      </c>
      <c r="K17" s="43"/>
    </row>
    <row r="18" ht="22.5" customHeight="1">
      <c r="A18" s="10" t="s">
        <v>215</v>
      </c>
      <c r="B18" s="11">
        <v>45695.0</v>
      </c>
      <c r="C18" s="11">
        <v>45696.0</v>
      </c>
      <c r="D18" s="86" t="str">
        <f t="shared" si="4"/>
        <v>02 (février)</v>
      </c>
      <c r="E18" s="45">
        <f t="shared" si="5"/>
        <v>1</v>
      </c>
      <c r="F18" s="46">
        <v>2.0</v>
      </c>
      <c r="G18" s="87">
        <v>40.0</v>
      </c>
      <c r="H18" s="88">
        <f t="shared" si="6"/>
        <v>40</v>
      </c>
      <c r="I18" s="89" t="s">
        <v>25</v>
      </c>
      <c r="K18" s="43"/>
    </row>
    <row r="19" ht="22.5" customHeight="1">
      <c r="A19" s="10" t="s">
        <v>216</v>
      </c>
      <c r="B19" s="11">
        <v>45698.0</v>
      </c>
      <c r="C19" s="11">
        <v>45700.0</v>
      </c>
      <c r="D19" s="86" t="str">
        <f t="shared" si="4"/>
        <v>02 (février)</v>
      </c>
      <c r="E19" s="45">
        <f t="shared" si="5"/>
        <v>2</v>
      </c>
      <c r="F19" s="46">
        <v>2.0</v>
      </c>
      <c r="G19" s="87">
        <v>50.0</v>
      </c>
      <c r="H19" s="88">
        <f t="shared" si="6"/>
        <v>100</v>
      </c>
      <c r="I19" s="89" t="s">
        <v>25</v>
      </c>
      <c r="K19" s="43"/>
    </row>
    <row r="20" ht="22.5" customHeight="1">
      <c r="A20" s="10" t="s">
        <v>217</v>
      </c>
      <c r="B20" s="11">
        <v>45700.0</v>
      </c>
      <c r="C20" s="11">
        <v>45702.0</v>
      </c>
      <c r="D20" s="86" t="str">
        <f t="shared" si="4"/>
        <v>02 (février)</v>
      </c>
      <c r="E20" s="45">
        <f t="shared" si="5"/>
        <v>2</v>
      </c>
      <c r="F20" s="46">
        <v>2.0</v>
      </c>
      <c r="G20" s="87">
        <v>40.0</v>
      </c>
      <c r="H20" s="88">
        <f t="shared" si="6"/>
        <v>80</v>
      </c>
      <c r="I20" s="89" t="s">
        <v>25</v>
      </c>
      <c r="K20" s="43"/>
    </row>
    <row r="21" ht="22.5" customHeight="1">
      <c r="A21" s="10" t="s">
        <v>218</v>
      </c>
      <c r="B21" s="11">
        <v>45702.0</v>
      </c>
      <c r="C21" s="11">
        <v>45705.0</v>
      </c>
      <c r="D21" s="86" t="str">
        <f t="shared" si="4"/>
        <v>02 (février)</v>
      </c>
      <c r="E21" s="45">
        <f t="shared" si="5"/>
        <v>3</v>
      </c>
      <c r="F21" s="46">
        <v>2.0</v>
      </c>
      <c r="G21" s="87">
        <v>50.0</v>
      </c>
      <c r="H21" s="88">
        <f t="shared" si="6"/>
        <v>150</v>
      </c>
      <c r="I21" s="89" t="s">
        <v>25</v>
      </c>
      <c r="K21" s="43"/>
    </row>
    <row r="22" ht="22.5" customHeight="1">
      <c r="A22" s="10" t="s">
        <v>219</v>
      </c>
      <c r="B22" s="11">
        <v>45705.0</v>
      </c>
      <c r="C22" s="11">
        <v>45708.0</v>
      </c>
      <c r="D22" s="86" t="str">
        <f t="shared" si="4"/>
        <v>02 (février)</v>
      </c>
      <c r="E22" s="45">
        <f t="shared" si="5"/>
        <v>3</v>
      </c>
      <c r="F22" s="46">
        <v>2.0</v>
      </c>
      <c r="G22" s="87">
        <v>50.0</v>
      </c>
      <c r="H22" s="88">
        <f t="shared" si="6"/>
        <v>150</v>
      </c>
      <c r="I22" s="89" t="s">
        <v>25</v>
      </c>
      <c r="K22" s="43"/>
    </row>
    <row r="23" ht="22.5" customHeight="1">
      <c r="A23" s="10" t="s">
        <v>220</v>
      </c>
      <c r="B23" s="11">
        <v>45708.0</v>
      </c>
      <c r="C23" s="11">
        <v>45711.0</v>
      </c>
      <c r="D23" s="86" t="str">
        <f t="shared" si="4"/>
        <v>02 (février)</v>
      </c>
      <c r="E23" s="45">
        <f t="shared" si="5"/>
        <v>3</v>
      </c>
      <c r="F23" s="46">
        <v>2.0</v>
      </c>
      <c r="G23" s="87">
        <v>50.0</v>
      </c>
      <c r="H23" s="88">
        <f t="shared" si="6"/>
        <v>150</v>
      </c>
      <c r="I23" s="89" t="s">
        <v>25</v>
      </c>
      <c r="K23" s="43"/>
    </row>
    <row r="24" ht="22.5" customHeight="1">
      <c r="A24" s="10" t="s">
        <v>221</v>
      </c>
      <c r="B24" s="11">
        <v>45712.0</v>
      </c>
      <c r="C24" s="11">
        <v>45714.0</v>
      </c>
      <c r="D24" s="86" t="str">
        <f t="shared" si="4"/>
        <v>02 (février)</v>
      </c>
      <c r="E24" s="45">
        <f t="shared" si="5"/>
        <v>2</v>
      </c>
      <c r="F24" s="46">
        <v>2.0</v>
      </c>
      <c r="G24" s="87">
        <v>40.0</v>
      </c>
      <c r="H24" s="88">
        <f t="shared" si="6"/>
        <v>80</v>
      </c>
      <c r="I24" s="89" t="s">
        <v>25</v>
      </c>
      <c r="K24" s="43"/>
    </row>
    <row r="25" ht="22.5" customHeight="1">
      <c r="A25" s="10" t="s">
        <v>222</v>
      </c>
      <c r="B25" s="11">
        <v>45715.0</v>
      </c>
      <c r="C25" s="11">
        <v>45717.0</v>
      </c>
      <c r="D25" s="86" t="str">
        <f t="shared" si="4"/>
        <v>02 (février)</v>
      </c>
      <c r="E25" s="45">
        <f t="shared" si="5"/>
        <v>2</v>
      </c>
      <c r="F25" s="46">
        <v>2.0</v>
      </c>
      <c r="G25" s="87">
        <v>50.0</v>
      </c>
      <c r="H25" s="88">
        <f t="shared" si="6"/>
        <v>100</v>
      </c>
      <c r="I25" s="89" t="s">
        <v>25</v>
      </c>
      <c r="K25" s="43"/>
    </row>
    <row r="26" ht="22.5" customHeight="1">
      <c r="B26" s="19"/>
      <c r="C26" s="19"/>
      <c r="E26" s="20"/>
      <c r="F26" s="21"/>
      <c r="G26" s="90"/>
      <c r="H26" s="42"/>
      <c r="I26" s="22"/>
      <c r="K26" s="43"/>
    </row>
    <row r="27" ht="22.5" customHeight="1">
      <c r="A27" s="10" t="s">
        <v>223</v>
      </c>
      <c r="B27" s="11">
        <v>45717.0</v>
      </c>
      <c r="C27" s="11">
        <v>45718.0</v>
      </c>
      <c r="D27" s="86" t="str">
        <f t="shared" ref="D27:D40" si="7">TEXT(B27 ,"mm (mmmm)")</f>
        <v>03 (mars)</v>
      </c>
      <c r="E27" s="45">
        <f t="shared" ref="E27:E40" si="8">C27-B27</f>
        <v>1</v>
      </c>
      <c r="F27" s="46">
        <v>2.0</v>
      </c>
      <c r="G27" s="87">
        <v>50.0</v>
      </c>
      <c r="H27" s="88">
        <f t="shared" ref="H27:H40" si="9">G27*E27</f>
        <v>50</v>
      </c>
      <c r="I27" s="89" t="s">
        <v>25</v>
      </c>
      <c r="K27" s="43"/>
    </row>
    <row r="28" ht="22.5" customHeight="1">
      <c r="A28" s="10" t="s">
        <v>224</v>
      </c>
      <c r="B28" s="11">
        <v>45718.0</v>
      </c>
      <c r="C28" s="11">
        <v>45719.0</v>
      </c>
      <c r="D28" s="86" t="str">
        <f t="shared" si="7"/>
        <v>03 (mars)</v>
      </c>
      <c r="E28" s="45">
        <f t="shared" si="8"/>
        <v>1</v>
      </c>
      <c r="F28" s="46">
        <v>2.0</v>
      </c>
      <c r="G28" s="87">
        <v>40.0</v>
      </c>
      <c r="H28" s="88">
        <f t="shared" si="9"/>
        <v>40</v>
      </c>
      <c r="I28" s="89" t="s">
        <v>25</v>
      </c>
      <c r="K28" s="43"/>
    </row>
    <row r="29" ht="22.5" customHeight="1">
      <c r="A29" s="10" t="s">
        <v>225</v>
      </c>
      <c r="B29" s="11">
        <v>45720.0</v>
      </c>
      <c r="C29" s="11">
        <v>45721.0</v>
      </c>
      <c r="D29" s="86" t="str">
        <f t="shared" si="7"/>
        <v>03 (mars)</v>
      </c>
      <c r="E29" s="45">
        <f t="shared" si="8"/>
        <v>1</v>
      </c>
      <c r="F29" s="46">
        <v>2.0</v>
      </c>
      <c r="G29" s="87">
        <v>50.0</v>
      </c>
      <c r="H29" s="88">
        <f t="shared" si="9"/>
        <v>50</v>
      </c>
      <c r="I29" s="89" t="s">
        <v>25</v>
      </c>
      <c r="K29" s="43"/>
    </row>
    <row r="30" ht="22.5" customHeight="1">
      <c r="A30" s="10" t="s">
        <v>226</v>
      </c>
      <c r="B30" s="11">
        <v>45722.0</v>
      </c>
      <c r="C30" s="11">
        <v>45723.0</v>
      </c>
      <c r="D30" s="86" t="str">
        <f t="shared" si="7"/>
        <v>03 (mars)</v>
      </c>
      <c r="E30" s="45">
        <f t="shared" si="8"/>
        <v>1</v>
      </c>
      <c r="F30" s="46">
        <v>2.0</v>
      </c>
      <c r="G30" s="87">
        <v>40.0</v>
      </c>
      <c r="H30" s="88">
        <f t="shared" si="9"/>
        <v>40</v>
      </c>
      <c r="I30" s="89" t="s">
        <v>25</v>
      </c>
      <c r="K30" s="43"/>
    </row>
    <row r="31" ht="22.5" customHeight="1">
      <c r="A31" s="10" t="s">
        <v>225</v>
      </c>
      <c r="B31" s="11">
        <v>45723.0</v>
      </c>
      <c r="C31" s="11">
        <v>45725.0</v>
      </c>
      <c r="D31" s="86" t="str">
        <f t="shared" si="7"/>
        <v>03 (mars)</v>
      </c>
      <c r="E31" s="45">
        <f t="shared" si="8"/>
        <v>2</v>
      </c>
      <c r="F31" s="46">
        <v>2.0</v>
      </c>
      <c r="G31" s="87">
        <v>50.0</v>
      </c>
      <c r="H31" s="88">
        <f t="shared" si="9"/>
        <v>100</v>
      </c>
      <c r="I31" s="89" t="s">
        <v>25</v>
      </c>
      <c r="K31" s="43"/>
    </row>
    <row r="32" ht="22.5" customHeight="1">
      <c r="A32" s="10" t="s">
        <v>227</v>
      </c>
      <c r="B32" s="11">
        <v>45725.0</v>
      </c>
      <c r="C32" s="11">
        <v>45727.0</v>
      </c>
      <c r="D32" s="86" t="str">
        <f t="shared" si="7"/>
        <v>03 (mars)</v>
      </c>
      <c r="E32" s="45">
        <f t="shared" si="8"/>
        <v>2</v>
      </c>
      <c r="F32" s="46">
        <v>1.0</v>
      </c>
      <c r="G32" s="87">
        <v>50.0</v>
      </c>
      <c r="H32" s="88">
        <f t="shared" si="9"/>
        <v>100</v>
      </c>
      <c r="I32" s="89" t="s">
        <v>33</v>
      </c>
      <c r="J32" s="10" t="s">
        <v>228</v>
      </c>
      <c r="K32" s="43"/>
    </row>
    <row r="33" ht="22.5" customHeight="1">
      <c r="A33" s="10" t="s">
        <v>229</v>
      </c>
      <c r="B33" s="11">
        <v>45727.0</v>
      </c>
      <c r="C33" s="11">
        <v>45728.0</v>
      </c>
      <c r="D33" s="86" t="str">
        <f t="shared" si="7"/>
        <v>03 (mars)</v>
      </c>
      <c r="E33" s="45">
        <f t="shared" si="8"/>
        <v>1</v>
      </c>
      <c r="F33" s="46">
        <v>2.0</v>
      </c>
      <c r="G33" s="87">
        <v>40.0</v>
      </c>
      <c r="H33" s="88">
        <f t="shared" si="9"/>
        <v>40</v>
      </c>
      <c r="I33" s="89" t="s">
        <v>25</v>
      </c>
      <c r="K33" s="43"/>
    </row>
    <row r="34" ht="22.5" customHeight="1">
      <c r="A34" s="10" t="s">
        <v>230</v>
      </c>
      <c r="B34" s="11">
        <v>45729.0</v>
      </c>
      <c r="C34" s="11">
        <v>45733.0</v>
      </c>
      <c r="D34" s="86" t="str">
        <f t="shared" si="7"/>
        <v>03 (mars)</v>
      </c>
      <c r="E34" s="45">
        <f t="shared" si="8"/>
        <v>4</v>
      </c>
      <c r="F34" s="46">
        <v>2.0</v>
      </c>
      <c r="G34" s="87">
        <v>50.0</v>
      </c>
      <c r="H34" s="88">
        <f t="shared" si="9"/>
        <v>200</v>
      </c>
      <c r="I34" s="89" t="s">
        <v>25</v>
      </c>
      <c r="K34" s="43"/>
    </row>
    <row r="35" ht="22.5" customHeight="1">
      <c r="A35" s="10" t="s">
        <v>137</v>
      </c>
      <c r="B35" s="11">
        <v>45734.0</v>
      </c>
      <c r="C35" s="11">
        <v>45735.0</v>
      </c>
      <c r="D35" s="86" t="str">
        <f t="shared" si="7"/>
        <v>03 (mars)</v>
      </c>
      <c r="E35" s="45">
        <f t="shared" si="8"/>
        <v>1</v>
      </c>
      <c r="F35" s="46">
        <v>2.0</v>
      </c>
      <c r="G35" s="87">
        <v>40.0</v>
      </c>
      <c r="H35" s="88">
        <f t="shared" si="9"/>
        <v>40</v>
      </c>
      <c r="I35" s="89" t="s">
        <v>25</v>
      </c>
      <c r="K35" s="43"/>
    </row>
    <row r="36" ht="22.5" customHeight="1">
      <c r="A36" s="10" t="s">
        <v>231</v>
      </c>
      <c r="B36" s="11">
        <v>45735.0</v>
      </c>
      <c r="C36" s="11">
        <v>45737.0</v>
      </c>
      <c r="D36" s="86" t="str">
        <f t="shared" si="7"/>
        <v>03 (mars)</v>
      </c>
      <c r="E36" s="45">
        <f t="shared" si="8"/>
        <v>2</v>
      </c>
      <c r="F36" s="46">
        <v>2.0</v>
      </c>
      <c r="G36" s="87">
        <v>50.0</v>
      </c>
      <c r="H36" s="88">
        <f t="shared" si="9"/>
        <v>100</v>
      </c>
      <c r="I36" s="89" t="s">
        <v>25</v>
      </c>
      <c r="K36" s="43"/>
    </row>
    <row r="37" ht="22.5" customHeight="1">
      <c r="A37" s="10" t="s">
        <v>212</v>
      </c>
      <c r="B37" s="11">
        <v>45737.0</v>
      </c>
      <c r="C37" s="11">
        <v>45739.0</v>
      </c>
      <c r="D37" s="86" t="str">
        <f t="shared" si="7"/>
        <v>03 (mars)</v>
      </c>
      <c r="E37" s="45">
        <f t="shared" si="8"/>
        <v>2</v>
      </c>
      <c r="F37" s="46">
        <v>2.0</v>
      </c>
      <c r="G37" s="87">
        <v>50.0</v>
      </c>
      <c r="H37" s="88">
        <f t="shared" si="9"/>
        <v>100</v>
      </c>
      <c r="I37" s="89" t="s">
        <v>27</v>
      </c>
      <c r="K37" s="43"/>
    </row>
    <row r="38" ht="22.5" customHeight="1">
      <c r="A38" s="10" t="s">
        <v>232</v>
      </c>
      <c r="B38" s="11">
        <v>45740.0</v>
      </c>
      <c r="C38" s="11">
        <v>45744.0</v>
      </c>
      <c r="D38" s="86" t="str">
        <f t="shared" si="7"/>
        <v>03 (mars)</v>
      </c>
      <c r="E38" s="45">
        <f t="shared" si="8"/>
        <v>4</v>
      </c>
      <c r="F38" s="46">
        <v>2.0</v>
      </c>
      <c r="G38" s="87">
        <v>50.0</v>
      </c>
      <c r="H38" s="88">
        <f t="shared" si="9"/>
        <v>200</v>
      </c>
      <c r="I38" s="89" t="s">
        <v>27</v>
      </c>
      <c r="K38" s="43"/>
    </row>
    <row r="39" ht="22.5" customHeight="1">
      <c r="A39" s="10" t="s">
        <v>233</v>
      </c>
      <c r="B39" s="11">
        <v>45744.0</v>
      </c>
      <c r="C39" s="11">
        <v>45746.0</v>
      </c>
      <c r="D39" s="86" t="str">
        <f t="shared" si="7"/>
        <v>03 (mars)</v>
      </c>
      <c r="E39" s="45">
        <f t="shared" si="8"/>
        <v>2</v>
      </c>
      <c r="F39" s="46">
        <v>2.0</v>
      </c>
      <c r="G39" s="87">
        <v>50.0</v>
      </c>
      <c r="H39" s="88">
        <f t="shared" si="9"/>
        <v>100</v>
      </c>
      <c r="I39" s="89" t="s">
        <v>25</v>
      </c>
      <c r="K39" s="43"/>
    </row>
    <row r="40" ht="22.5" customHeight="1">
      <c r="A40" s="10" t="s">
        <v>234</v>
      </c>
      <c r="B40" s="11">
        <v>45747.0</v>
      </c>
      <c r="C40" s="11">
        <v>45748.0</v>
      </c>
      <c r="D40" s="86" t="str">
        <f t="shared" si="7"/>
        <v>03 (mars)</v>
      </c>
      <c r="E40" s="45">
        <f t="shared" si="8"/>
        <v>1</v>
      </c>
      <c r="F40" s="46">
        <v>1.0</v>
      </c>
      <c r="G40" s="87">
        <v>40.0</v>
      </c>
      <c r="H40" s="88">
        <f t="shared" si="9"/>
        <v>40</v>
      </c>
      <c r="I40" s="89" t="s">
        <v>25</v>
      </c>
      <c r="K40" s="43"/>
    </row>
    <row r="41" ht="22.5" customHeight="1">
      <c r="B41" s="19"/>
      <c r="C41" s="19"/>
      <c r="E41" s="20"/>
      <c r="F41" s="21"/>
      <c r="G41" s="90"/>
      <c r="H41" s="42"/>
      <c r="I41" s="22"/>
      <c r="K41" s="43"/>
    </row>
    <row r="42" ht="22.5" customHeight="1">
      <c r="A42" s="10" t="s">
        <v>235</v>
      </c>
      <c r="B42" s="11">
        <v>45749.0</v>
      </c>
      <c r="C42" s="11">
        <v>45751.0</v>
      </c>
      <c r="D42" s="86" t="str">
        <f t="shared" ref="D42:D52" si="10">TEXT(B42 ,"mm (mmmm)")</f>
        <v>04 (avril)</v>
      </c>
      <c r="E42" s="45">
        <f t="shared" ref="E42:E52" si="11">C42-B42</f>
        <v>2</v>
      </c>
      <c r="F42" s="46">
        <v>2.0</v>
      </c>
      <c r="G42" s="87">
        <v>50.0</v>
      </c>
      <c r="H42" s="88">
        <f t="shared" ref="H42:H52" si="12">G42*E42</f>
        <v>100</v>
      </c>
      <c r="I42" s="89" t="s">
        <v>27</v>
      </c>
      <c r="K42" s="43"/>
    </row>
    <row r="43" ht="22.5" customHeight="1">
      <c r="A43" s="10" t="s">
        <v>236</v>
      </c>
      <c r="B43" s="11">
        <v>45751.0</v>
      </c>
      <c r="C43" s="11">
        <v>45753.0</v>
      </c>
      <c r="D43" s="86" t="str">
        <f t="shared" si="10"/>
        <v>04 (avril)</v>
      </c>
      <c r="E43" s="45">
        <f t="shared" si="11"/>
        <v>2</v>
      </c>
      <c r="F43" s="46">
        <v>2.0</v>
      </c>
      <c r="G43" s="87">
        <v>45.0</v>
      </c>
      <c r="H43" s="88">
        <f t="shared" si="12"/>
        <v>90</v>
      </c>
      <c r="I43" s="89" t="s">
        <v>25</v>
      </c>
      <c r="K43" s="43"/>
    </row>
    <row r="44" ht="22.5" customHeight="1">
      <c r="A44" s="10" t="s">
        <v>237</v>
      </c>
      <c r="B44" s="11">
        <v>45755.0</v>
      </c>
      <c r="C44" s="11">
        <v>45757.0</v>
      </c>
      <c r="D44" s="86" t="str">
        <f t="shared" si="10"/>
        <v>04 (avril)</v>
      </c>
      <c r="E44" s="45">
        <f t="shared" si="11"/>
        <v>2</v>
      </c>
      <c r="F44" s="46">
        <v>2.0</v>
      </c>
      <c r="G44" s="87">
        <v>50.0</v>
      </c>
      <c r="H44" s="88">
        <f t="shared" si="12"/>
        <v>100</v>
      </c>
      <c r="I44" s="89" t="s">
        <v>25</v>
      </c>
      <c r="K44" s="43"/>
    </row>
    <row r="45" ht="22.5" customHeight="1">
      <c r="A45" s="10" t="s">
        <v>64</v>
      </c>
      <c r="B45" s="11">
        <v>45758.0</v>
      </c>
      <c r="C45" s="11">
        <v>45763.0</v>
      </c>
      <c r="D45" s="86" t="str">
        <f t="shared" si="10"/>
        <v>04 (avril)</v>
      </c>
      <c r="E45" s="45">
        <f t="shared" si="11"/>
        <v>5</v>
      </c>
      <c r="F45" s="46">
        <v>1.0</v>
      </c>
      <c r="G45" s="87">
        <v>50.0</v>
      </c>
      <c r="H45" s="88">
        <f t="shared" si="12"/>
        <v>250</v>
      </c>
      <c r="I45" s="89" t="s">
        <v>65</v>
      </c>
      <c r="K45" s="43"/>
    </row>
    <row r="46" ht="22.5" customHeight="1">
      <c r="A46" s="10" t="s">
        <v>238</v>
      </c>
      <c r="B46" s="11">
        <v>45763.0</v>
      </c>
      <c r="C46" s="11">
        <v>45765.0</v>
      </c>
      <c r="D46" s="86" t="str">
        <f t="shared" si="10"/>
        <v>04 (avril)</v>
      </c>
      <c r="E46" s="45">
        <f t="shared" si="11"/>
        <v>2</v>
      </c>
      <c r="F46" s="46">
        <v>2.0</v>
      </c>
      <c r="G46" s="87">
        <v>55.0</v>
      </c>
      <c r="H46" s="88">
        <f t="shared" si="12"/>
        <v>110</v>
      </c>
      <c r="I46" s="89" t="s">
        <v>25</v>
      </c>
      <c r="K46" s="43"/>
    </row>
    <row r="47" ht="22.5" customHeight="1">
      <c r="A47" s="10" t="s">
        <v>239</v>
      </c>
      <c r="B47" s="11">
        <v>45765.0</v>
      </c>
      <c r="C47" s="11">
        <v>45767.0</v>
      </c>
      <c r="D47" s="86" t="str">
        <f t="shared" si="10"/>
        <v>04 (avril)</v>
      </c>
      <c r="E47" s="45">
        <f t="shared" si="11"/>
        <v>2</v>
      </c>
      <c r="F47" s="46">
        <v>2.0</v>
      </c>
      <c r="G47" s="87">
        <v>50.0</v>
      </c>
      <c r="H47" s="88">
        <f t="shared" si="12"/>
        <v>100</v>
      </c>
      <c r="I47" s="89" t="s">
        <v>27</v>
      </c>
      <c r="J47" s="10" t="s">
        <v>240</v>
      </c>
      <c r="K47" s="43"/>
    </row>
    <row r="48" ht="22.5" customHeight="1">
      <c r="A48" s="10" t="s">
        <v>241</v>
      </c>
      <c r="B48" s="11">
        <v>45767.0</v>
      </c>
      <c r="C48" s="11">
        <v>45770.0</v>
      </c>
      <c r="D48" s="86" t="str">
        <f t="shared" si="10"/>
        <v>04 (avril)</v>
      </c>
      <c r="E48" s="45">
        <f t="shared" si="11"/>
        <v>3</v>
      </c>
      <c r="F48" s="46">
        <v>2.0</v>
      </c>
      <c r="G48" s="87">
        <v>52.0</v>
      </c>
      <c r="H48" s="88">
        <f t="shared" si="12"/>
        <v>156</v>
      </c>
      <c r="I48" s="89" t="s">
        <v>25</v>
      </c>
      <c r="K48" s="43"/>
    </row>
    <row r="49" ht="22.5" customHeight="1">
      <c r="A49" s="10" t="s">
        <v>242</v>
      </c>
      <c r="B49" s="11">
        <v>45770.0</v>
      </c>
      <c r="C49" s="11">
        <v>45772.0</v>
      </c>
      <c r="D49" s="86" t="str">
        <f t="shared" si="10"/>
        <v>04 (avril)</v>
      </c>
      <c r="E49" s="45">
        <f t="shared" si="11"/>
        <v>2</v>
      </c>
      <c r="F49" s="46">
        <v>2.0</v>
      </c>
      <c r="G49" s="87">
        <v>50.0</v>
      </c>
      <c r="H49" s="88">
        <f t="shared" si="12"/>
        <v>100</v>
      </c>
      <c r="I49" s="89" t="s">
        <v>25</v>
      </c>
      <c r="K49" s="43"/>
    </row>
    <row r="50" ht="22.5" customHeight="1">
      <c r="A50" s="10" t="s">
        <v>243</v>
      </c>
      <c r="B50" s="11">
        <v>45772.0</v>
      </c>
      <c r="C50" s="11">
        <v>45774.0</v>
      </c>
      <c r="D50" s="86" t="str">
        <f t="shared" si="10"/>
        <v>04 (avril)</v>
      </c>
      <c r="E50" s="45">
        <f t="shared" si="11"/>
        <v>2</v>
      </c>
      <c r="F50" s="46">
        <v>2.0</v>
      </c>
      <c r="G50" s="87">
        <v>50.0</v>
      </c>
      <c r="H50" s="88">
        <f t="shared" si="12"/>
        <v>100</v>
      </c>
      <c r="I50" s="89" t="s">
        <v>27</v>
      </c>
      <c r="J50" s="10" t="s">
        <v>240</v>
      </c>
      <c r="K50" s="43"/>
    </row>
    <row r="51" ht="22.5" customHeight="1">
      <c r="A51" s="10" t="s">
        <v>210</v>
      </c>
      <c r="B51" s="11">
        <v>45774.0</v>
      </c>
      <c r="C51" s="11">
        <v>45776.0</v>
      </c>
      <c r="D51" s="86" t="str">
        <f t="shared" si="10"/>
        <v>04 (avril)</v>
      </c>
      <c r="E51" s="45">
        <f t="shared" si="11"/>
        <v>2</v>
      </c>
      <c r="F51" s="46">
        <v>2.0</v>
      </c>
      <c r="G51" s="87">
        <v>50.0</v>
      </c>
      <c r="H51" s="88">
        <f t="shared" si="12"/>
        <v>100</v>
      </c>
      <c r="I51" s="89" t="s">
        <v>25</v>
      </c>
      <c r="K51" s="43"/>
    </row>
    <row r="52" ht="22.5" customHeight="1">
      <c r="A52" s="34" t="s">
        <v>151</v>
      </c>
      <c r="B52" s="35">
        <v>45777.0</v>
      </c>
      <c r="C52" s="35">
        <v>45778.0</v>
      </c>
      <c r="D52" s="86" t="str">
        <f t="shared" si="10"/>
        <v>04 (avril)</v>
      </c>
      <c r="E52" s="39">
        <f t="shared" si="11"/>
        <v>1</v>
      </c>
      <c r="F52" s="34">
        <v>2.0</v>
      </c>
      <c r="G52" s="87">
        <v>50.0</v>
      </c>
      <c r="H52" s="88">
        <f t="shared" si="12"/>
        <v>50</v>
      </c>
      <c r="I52" s="40" t="s">
        <v>25</v>
      </c>
      <c r="J52" s="39"/>
      <c r="K52" s="43"/>
      <c r="O52" s="10" t="s">
        <v>99</v>
      </c>
    </row>
    <row r="53" ht="22.5" customHeight="1">
      <c r="A53" s="28"/>
      <c r="B53" s="19"/>
      <c r="C53" s="19"/>
      <c r="F53" s="28"/>
      <c r="G53" s="90"/>
      <c r="H53" s="42"/>
      <c r="I53" s="22"/>
      <c r="K53" s="43"/>
    </row>
    <row r="54" ht="22.5" customHeight="1">
      <c r="A54" s="34" t="s">
        <v>151</v>
      </c>
      <c r="B54" s="35">
        <v>45778.0</v>
      </c>
      <c r="C54" s="35">
        <v>45781.0</v>
      </c>
      <c r="D54" s="86" t="str">
        <f t="shared" ref="D54:D62" si="13">TEXT(B54 ,"mm (mmmm)")</f>
        <v>05 (mai)</v>
      </c>
      <c r="E54" s="39">
        <f t="shared" ref="E54:E62" si="14">C54-B54</f>
        <v>3</v>
      </c>
      <c r="F54" s="34">
        <v>2.0</v>
      </c>
      <c r="G54" s="87">
        <v>50.0</v>
      </c>
      <c r="H54" s="88">
        <f t="shared" ref="H54:H62" si="15">G54*E54</f>
        <v>150</v>
      </c>
      <c r="I54" s="40" t="s">
        <v>25</v>
      </c>
      <c r="J54" s="39"/>
      <c r="K54" s="43"/>
      <c r="O54" s="10" t="s">
        <v>99</v>
      </c>
    </row>
    <row r="55" ht="22.5" customHeight="1">
      <c r="A55" s="10" t="s">
        <v>207</v>
      </c>
      <c r="B55" s="11">
        <v>45782.0</v>
      </c>
      <c r="C55" s="11">
        <v>45785.0</v>
      </c>
      <c r="D55" s="86" t="str">
        <f t="shared" si="13"/>
        <v>05 (mai)</v>
      </c>
      <c r="E55" s="45">
        <f t="shared" si="14"/>
        <v>3</v>
      </c>
      <c r="F55" s="46">
        <v>2.0</v>
      </c>
      <c r="G55" s="87">
        <v>50.0</v>
      </c>
      <c r="H55" s="88">
        <f t="shared" si="15"/>
        <v>150</v>
      </c>
      <c r="I55" s="89" t="s">
        <v>33</v>
      </c>
      <c r="K55" s="43"/>
    </row>
    <row r="56" ht="22.5" customHeight="1">
      <c r="A56" s="10" t="s">
        <v>227</v>
      </c>
      <c r="B56" s="11">
        <v>45785.0</v>
      </c>
      <c r="C56" s="11">
        <v>45787.0</v>
      </c>
      <c r="D56" s="86" t="str">
        <f t="shared" si="13"/>
        <v>05 (mai)</v>
      </c>
      <c r="E56" s="45">
        <f t="shared" si="14"/>
        <v>2</v>
      </c>
      <c r="F56" s="46">
        <v>2.0</v>
      </c>
      <c r="G56" s="87">
        <v>50.0</v>
      </c>
      <c r="H56" s="88">
        <f t="shared" si="15"/>
        <v>100</v>
      </c>
      <c r="I56" s="89" t="s">
        <v>25</v>
      </c>
      <c r="K56" s="43"/>
    </row>
    <row r="57" ht="22.5" customHeight="1">
      <c r="A57" s="10" t="s">
        <v>244</v>
      </c>
      <c r="B57" s="11">
        <v>45787.0</v>
      </c>
      <c r="C57" s="11">
        <v>45788.0</v>
      </c>
      <c r="D57" s="86" t="str">
        <f t="shared" si="13"/>
        <v>05 (mai)</v>
      </c>
      <c r="E57" s="45">
        <f t="shared" si="14"/>
        <v>1</v>
      </c>
      <c r="F57" s="46">
        <v>2.0</v>
      </c>
      <c r="G57" s="87">
        <v>0.0</v>
      </c>
      <c r="H57" s="88">
        <f t="shared" si="15"/>
        <v>0</v>
      </c>
      <c r="I57" s="89" t="s">
        <v>27</v>
      </c>
      <c r="J57" s="10" t="s">
        <v>245</v>
      </c>
      <c r="K57" s="43"/>
    </row>
    <row r="58" ht="22.5" customHeight="1">
      <c r="A58" s="10" t="s">
        <v>246</v>
      </c>
      <c r="B58" s="11">
        <v>45789.0</v>
      </c>
      <c r="C58" s="11">
        <v>45793.0</v>
      </c>
      <c r="D58" s="86" t="str">
        <f t="shared" si="13"/>
        <v>05 (mai)</v>
      </c>
      <c r="E58" s="45">
        <f t="shared" si="14"/>
        <v>4</v>
      </c>
      <c r="F58" s="46">
        <v>2.0</v>
      </c>
      <c r="G58" s="87">
        <v>50.0</v>
      </c>
      <c r="H58" s="88">
        <f t="shared" si="15"/>
        <v>200</v>
      </c>
      <c r="I58" s="89" t="s">
        <v>25</v>
      </c>
      <c r="K58" s="43"/>
    </row>
    <row r="59" ht="22.5" customHeight="1">
      <c r="A59" s="10" t="s">
        <v>247</v>
      </c>
      <c r="B59" s="11">
        <v>45793.0</v>
      </c>
      <c r="C59" s="11">
        <v>45795.0</v>
      </c>
      <c r="D59" s="86" t="str">
        <f t="shared" si="13"/>
        <v>05 (mai)</v>
      </c>
      <c r="E59" s="45">
        <f t="shared" si="14"/>
        <v>2</v>
      </c>
      <c r="F59" s="46">
        <v>2.0</v>
      </c>
      <c r="G59" s="87">
        <v>50.0</v>
      </c>
      <c r="H59" s="88">
        <f t="shared" si="15"/>
        <v>100</v>
      </c>
      <c r="I59" s="89" t="s">
        <v>27</v>
      </c>
      <c r="J59" s="10" t="s">
        <v>240</v>
      </c>
      <c r="K59" s="43"/>
    </row>
    <row r="60" ht="22.5" customHeight="1">
      <c r="A60" s="10" t="s">
        <v>248</v>
      </c>
      <c r="B60" s="11">
        <v>45796.0</v>
      </c>
      <c r="C60" s="11">
        <v>45799.0</v>
      </c>
      <c r="D60" s="86" t="str">
        <f t="shared" si="13"/>
        <v>05 (mai)</v>
      </c>
      <c r="E60" s="45">
        <f t="shared" si="14"/>
        <v>3</v>
      </c>
      <c r="F60" s="46">
        <v>2.0</v>
      </c>
      <c r="G60" s="87">
        <v>50.0</v>
      </c>
      <c r="H60" s="88">
        <f t="shared" si="15"/>
        <v>150</v>
      </c>
      <c r="I60" s="89" t="s">
        <v>25</v>
      </c>
      <c r="K60" s="43"/>
    </row>
    <row r="61" ht="22.5" customHeight="1">
      <c r="A61" s="10" t="s">
        <v>249</v>
      </c>
      <c r="B61" s="11">
        <v>45800.0</v>
      </c>
      <c r="C61" s="11">
        <v>45803.0</v>
      </c>
      <c r="D61" s="86" t="str">
        <f t="shared" si="13"/>
        <v>05 (mai)</v>
      </c>
      <c r="E61" s="45">
        <f t="shared" si="14"/>
        <v>3</v>
      </c>
      <c r="F61" s="46">
        <v>2.0</v>
      </c>
      <c r="G61" s="87">
        <v>50.0</v>
      </c>
      <c r="H61" s="88">
        <f t="shared" si="15"/>
        <v>150</v>
      </c>
      <c r="I61" s="89" t="s">
        <v>25</v>
      </c>
      <c r="K61" s="43"/>
    </row>
    <row r="62" ht="22.5" customHeight="1">
      <c r="A62" s="10" t="s">
        <v>250</v>
      </c>
      <c r="B62" s="11">
        <v>45805.0</v>
      </c>
      <c r="C62" s="11">
        <v>45809.0</v>
      </c>
      <c r="D62" s="86" t="str">
        <f t="shared" si="13"/>
        <v>05 (mai)</v>
      </c>
      <c r="E62" s="45">
        <f t="shared" si="14"/>
        <v>4</v>
      </c>
      <c r="F62" s="46">
        <v>2.0</v>
      </c>
      <c r="G62" s="87">
        <v>50.0</v>
      </c>
      <c r="H62" s="88">
        <f t="shared" si="15"/>
        <v>200</v>
      </c>
      <c r="I62" s="89" t="s">
        <v>27</v>
      </c>
      <c r="J62" s="10" t="s">
        <v>251</v>
      </c>
      <c r="K62" s="43"/>
    </row>
    <row r="63" ht="22.5" customHeight="1">
      <c r="B63" s="19"/>
      <c r="C63" s="19"/>
      <c r="E63" s="20"/>
      <c r="F63" s="21"/>
      <c r="G63" s="90"/>
      <c r="H63" s="42"/>
      <c r="I63" s="22"/>
      <c r="K63" s="43"/>
    </row>
    <row r="64" ht="22.5" customHeight="1">
      <c r="A64" s="10" t="s">
        <v>252</v>
      </c>
      <c r="B64" s="11">
        <v>45809.0</v>
      </c>
      <c r="C64" s="11">
        <v>45811.0</v>
      </c>
      <c r="D64" s="86" t="str">
        <f t="shared" ref="D64:D75" si="16">TEXT(B64 ,"mm (mmmm)")</f>
        <v>06 (juin)</v>
      </c>
      <c r="E64" s="45">
        <f t="shared" ref="E64:E75" si="17">C64-B64</f>
        <v>2</v>
      </c>
      <c r="F64" s="46">
        <v>2.0</v>
      </c>
      <c r="G64" s="87">
        <v>50.0</v>
      </c>
      <c r="H64" s="88">
        <f t="shared" ref="H64:H75" si="18">G64*E64</f>
        <v>100</v>
      </c>
      <c r="I64" s="89" t="s">
        <v>25</v>
      </c>
      <c r="K64" s="43"/>
    </row>
    <row r="65" ht="22.5" customHeight="1">
      <c r="A65" s="10" t="s">
        <v>253</v>
      </c>
      <c r="B65" s="11">
        <v>45811.0</v>
      </c>
      <c r="C65" s="11">
        <v>45816.0</v>
      </c>
      <c r="D65" s="86" t="str">
        <f t="shared" si="16"/>
        <v>06 (juin)</v>
      </c>
      <c r="E65" s="45">
        <f t="shared" si="17"/>
        <v>5</v>
      </c>
      <c r="F65" s="46">
        <v>2.0</v>
      </c>
      <c r="G65" s="87">
        <v>52.0</v>
      </c>
      <c r="H65" s="88">
        <f t="shared" si="18"/>
        <v>260</v>
      </c>
      <c r="I65" s="89" t="s">
        <v>25</v>
      </c>
      <c r="K65" s="43"/>
    </row>
    <row r="66" ht="22.5" customHeight="1">
      <c r="A66" s="10" t="s">
        <v>254</v>
      </c>
      <c r="B66" s="11">
        <v>45816.0</v>
      </c>
      <c r="C66" s="11">
        <v>45817.0</v>
      </c>
      <c r="D66" s="86" t="str">
        <f t="shared" si="16"/>
        <v>06 (juin)</v>
      </c>
      <c r="E66" s="45">
        <f t="shared" si="17"/>
        <v>1</v>
      </c>
      <c r="F66" s="46">
        <v>2.0</v>
      </c>
      <c r="G66" s="87">
        <v>0.0</v>
      </c>
      <c r="H66" s="88">
        <f t="shared" si="18"/>
        <v>0</v>
      </c>
      <c r="I66" s="89" t="s">
        <v>33</v>
      </c>
      <c r="K66" s="43"/>
    </row>
    <row r="67" ht="22.5" customHeight="1">
      <c r="A67" s="10" t="s">
        <v>64</v>
      </c>
      <c r="B67" s="11">
        <v>45818.0</v>
      </c>
      <c r="C67" s="11">
        <v>45823.0</v>
      </c>
      <c r="D67" s="86" t="str">
        <f t="shared" si="16"/>
        <v>06 (juin)</v>
      </c>
      <c r="E67" s="45">
        <f t="shared" si="17"/>
        <v>5</v>
      </c>
      <c r="F67" s="46">
        <v>1.0</v>
      </c>
      <c r="G67" s="87">
        <v>50.0</v>
      </c>
      <c r="H67" s="88">
        <f t="shared" si="18"/>
        <v>250</v>
      </c>
      <c r="I67" s="89" t="s">
        <v>65</v>
      </c>
      <c r="K67" s="43"/>
    </row>
    <row r="68" ht="22.5" customHeight="1">
      <c r="A68" s="10" t="s">
        <v>129</v>
      </c>
      <c r="B68" s="11">
        <v>45823.0</v>
      </c>
      <c r="C68" s="11">
        <v>45824.0</v>
      </c>
      <c r="D68" s="86" t="str">
        <f t="shared" si="16"/>
        <v>06 (juin)</v>
      </c>
      <c r="E68" s="45">
        <f t="shared" si="17"/>
        <v>1</v>
      </c>
      <c r="F68" s="46">
        <v>2.0</v>
      </c>
      <c r="G68" s="87">
        <v>50.0</v>
      </c>
      <c r="H68" s="88">
        <f t="shared" si="18"/>
        <v>50</v>
      </c>
      <c r="I68" s="89" t="s">
        <v>25</v>
      </c>
      <c r="K68" s="43"/>
    </row>
    <row r="69" ht="22.5" customHeight="1">
      <c r="A69" s="10" t="s">
        <v>255</v>
      </c>
      <c r="B69" s="11">
        <v>45824.0</v>
      </c>
      <c r="C69" s="11">
        <v>45827.0</v>
      </c>
      <c r="D69" s="86" t="str">
        <f t="shared" si="16"/>
        <v>06 (juin)</v>
      </c>
      <c r="E69" s="45">
        <f t="shared" si="17"/>
        <v>3</v>
      </c>
      <c r="F69" s="46">
        <v>2.0</v>
      </c>
      <c r="G69" s="87">
        <v>50.0</v>
      </c>
      <c r="H69" s="88">
        <f t="shared" si="18"/>
        <v>150</v>
      </c>
      <c r="I69" s="89" t="s">
        <v>25</v>
      </c>
      <c r="K69" s="43"/>
    </row>
    <row r="70" ht="22.5" customHeight="1">
      <c r="A70" s="10" t="s">
        <v>256</v>
      </c>
      <c r="B70" s="11">
        <v>45827.0</v>
      </c>
      <c r="C70" s="11">
        <v>45829.0</v>
      </c>
      <c r="D70" s="86" t="str">
        <f t="shared" si="16"/>
        <v>06 (juin)</v>
      </c>
      <c r="E70" s="45">
        <f t="shared" si="17"/>
        <v>2</v>
      </c>
      <c r="F70" s="46">
        <v>2.0</v>
      </c>
      <c r="G70" s="87">
        <v>50.0</v>
      </c>
      <c r="H70" s="88">
        <f t="shared" si="18"/>
        <v>100</v>
      </c>
      <c r="I70" s="89" t="s">
        <v>25</v>
      </c>
      <c r="K70" s="43"/>
    </row>
    <row r="71" ht="22.5" customHeight="1">
      <c r="A71" s="10" t="s">
        <v>257</v>
      </c>
      <c r="B71" s="11">
        <v>45829.0</v>
      </c>
      <c r="C71" s="11">
        <v>45831.0</v>
      </c>
      <c r="D71" s="86" t="str">
        <f t="shared" si="16"/>
        <v>06 (juin)</v>
      </c>
      <c r="E71" s="45">
        <f t="shared" si="17"/>
        <v>2</v>
      </c>
      <c r="F71" s="46">
        <v>2.0</v>
      </c>
      <c r="G71" s="87">
        <v>50.0</v>
      </c>
      <c r="H71" s="88">
        <f t="shared" si="18"/>
        <v>100</v>
      </c>
      <c r="I71" s="89" t="s">
        <v>27</v>
      </c>
      <c r="K71" s="43"/>
    </row>
    <row r="72" ht="22.5" customHeight="1">
      <c r="A72" s="10" t="s">
        <v>258</v>
      </c>
      <c r="B72" s="11">
        <v>45831.0</v>
      </c>
      <c r="C72" s="11">
        <v>45833.0</v>
      </c>
      <c r="D72" s="86" t="str">
        <f t="shared" si="16"/>
        <v>06 (juin)</v>
      </c>
      <c r="E72" s="45">
        <f t="shared" si="17"/>
        <v>2</v>
      </c>
      <c r="F72" s="46">
        <v>2.0</v>
      </c>
      <c r="G72" s="87">
        <v>50.0</v>
      </c>
      <c r="H72" s="88">
        <f t="shared" si="18"/>
        <v>100</v>
      </c>
      <c r="I72" s="89" t="s">
        <v>25</v>
      </c>
      <c r="K72" s="43"/>
    </row>
    <row r="73" ht="22.5" customHeight="1">
      <c r="A73" s="10" t="s">
        <v>259</v>
      </c>
      <c r="B73" s="11">
        <v>45833.0</v>
      </c>
      <c r="C73" s="11">
        <v>45835.0</v>
      </c>
      <c r="D73" s="86" t="str">
        <f t="shared" si="16"/>
        <v>06 (juin)</v>
      </c>
      <c r="E73" s="45">
        <f t="shared" si="17"/>
        <v>2</v>
      </c>
      <c r="F73" s="46">
        <v>2.0</v>
      </c>
      <c r="G73" s="87">
        <v>50.0</v>
      </c>
      <c r="H73" s="88">
        <f t="shared" si="18"/>
        <v>100</v>
      </c>
      <c r="I73" s="89" t="s">
        <v>25</v>
      </c>
      <c r="K73" s="43"/>
    </row>
    <row r="74" ht="22.5" customHeight="1">
      <c r="A74" s="10" t="s">
        <v>225</v>
      </c>
      <c r="B74" s="11">
        <v>45835.0</v>
      </c>
      <c r="C74" s="11">
        <v>45837.0</v>
      </c>
      <c r="D74" s="86" t="str">
        <f t="shared" si="16"/>
        <v>06 (juin)</v>
      </c>
      <c r="E74" s="45">
        <f t="shared" si="17"/>
        <v>2</v>
      </c>
      <c r="F74" s="46">
        <v>2.0</v>
      </c>
      <c r="G74" s="87">
        <v>50.0</v>
      </c>
      <c r="H74" s="88">
        <f t="shared" si="18"/>
        <v>100</v>
      </c>
      <c r="I74" s="89" t="s">
        <v>25</v>
      </c>
      <c r="K74" s="43"/>
    </row>
    <row r="75" ht="22.5" customHeight="1">
      <c r="A75" s="10" t="s">
        <v>237</v>
      </c>
      <c r="B75" s="11">
        <v>45837.0</v>
      </c>
      <c r="C75" s="11">
        <v>45838.0</v>
      </c>
      <c r="D75" s="86" t="str">
        <f t="shared" si="16"/>
        <v>06 (juin)</v>
      </c>
      <c r="E75" s="45">
        <f t="shared" si="17"/>
        <v>1</v>
      </c>
      <c r="F75" s="46">
        <v>2.0</v>
      </c>
      <c r="G75" s="87">
        <v>41.0</v>
      </c>
      <c r="H75" s="88">
        <f t="shared" si="18"/>
        <v>41</v>
      </c>
      <c r="I75" s="89" t="s">
        <v>25</v>
      </c>
      <c r="K75" s="43"/>
    </row>
    <row r="76" ht="22.5" customHeight="1">
      <c r="A76" s="28"/>
      <c r="B76" s="19"/>
      <c r="C76" s="19"/>
      <c r="E76" s="20"/>
      <c r="F76" s="21"/>
      <c r="G76" s="90"/>
      <c r="H76" s="42"/>
      <c r="I76" s="22"/>
      <c r="K76" s="43"/>
    </row>
    <row r="77" ht="22.5" customHeight="1">
      <c r="A77" s="91" t="s">
        <v>237</v>
      </c>
      <c r="B77" s="57">
        <v>45839.0</v>
      </c>
      <c r="C77" s="57">
        <v>45841.0</v>
      </c>
      <c r="D77" s="92" t="str">
        <f t="shared" ref="D77:D83" si="19">TEXT(B77 ,"mm (mmmm)")</f>
        <v>07 (juillet)</v>
      </c>
      <c r="E77" s="93">
        <f t="shared" ref="E77:E83" si="20">C77-B77</f>
        <v>2</v>
      </c>
      <c r="F77" s="94">
        <v>2.0</v>
      </c>
      <c r="G77" s="95">
        <v>41.0</v>
      </c>
      <c r="H77" s="96">
        <f t="shared" ref="H77:H83" si="21">G77*E77</f>
        <v>82</v>
      </c>
      <c r="I77" s="97" t="s">
        <v>25</v>
      </c>
      <c r="J77" s="64"/>
      <c r="K77" s="65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22.5" customHeight="1">
      <c r="A78" s="10" t="s">
        <v>260</v>
      </c>
      <c r="B78" s="11">
        <v>45841.0</v>
      </c>
      <c r="C78" s="11">
        <v>45844.0</v>
      </c>
      <c r="D78" s="86" t="str">
        <f t="shared" si="19"/>
        <v>07 (juillet)</v>
      </c>
      <c r="E78" s="45">
        <f t="shared" si="20"/>
        <v>3</v>
      </c>
      <c r="F78" s="46">
        <v>2.0</v>
      </c>
      <c r="G78" s="87">
        <v>56.0</v>
      </c>
      <c r="H78" s="88">
        <f t="shared" si="21"/>
        <v>168</v>
      </c>
      <c r="I78" s="89" t="s">
        <v>25</v>
      </c>
      <c r="K78" s="43"/>
    </row>
    <row r="79" ht="22.5" customHeight="1">
      <c r="A79" s="10" t="s">
        <v>261</v>
      </c>
      <c r="B79" s="11">
        <v>45844.0</v>
      </c>
      <c r="C79" s="11">
        <v>45851.0</v>
      </c>
      <c r="D79" s="86" t="str">
        <f t="shared" si="19"/>
        <v>07 (juillet)</v>
      </c>
      <c r="E79" s="45">
        <f t="shared" si="20"/>
        <v>7</v>
      </c>
      <c r="F79" s="46">
        <v>2.0</v>
      </c>
      <c r="G79" s="87">
        <v>59.0</v>
      </c>
      <c r="H79" s="88">
        <f t="shared" si="21"/>
        <v>413</v>
      </c>
      <c r="I79" s="89" t="s">
        <v>25</v>
      </c>
      <c r="K79" s="43"/>
    </row>
    <row r="80" ht="22.5" customHeight="1">
      <c r="A80" s="10" t="s">
        <v>262</v>
      </c>
      <c r="B80" s="11">
        <v>45851.0</v>
      </c>
      <c r="C80" s="11">
        <v>45858.0</v>
      </c>
      <c r="D80" s="86" t="str">
        <f t="shared" si="19"/>
        <v>07 (juillet)</v>
      </c>
      <c r="E80" s="45">
        <f t="shared" si="20"/>
        <v>7</v>
      </c>
      <c r="F80" s="46">
        <v>2.0</v>
      </c>
      <c r="G80" s="87">
        <v>59.0</v>
      </c>
      <c r="H80" s="88">
        <f t="shared" si="21"/>
        <v>413</v>
      </c>
      <c r="I80" s="89" t="s">
        <v>25</v>
      </c>
      <c r="K80" s="43"/>
    </row>
    <row r="81" ht="22.5" customHeight="1">
      <c r="A81" s="10" t="s">
        <v>263</v>
      </c>
      <c r="B81" s="11">
        <v>45858.0</v>
      </c>
      <c r="C81" s="11">
        <v>45863.0</v>
      </c>
      <c r="D81" s="86" t="str">
        <f t="shared" si="19"/>
        <v>07 (juillet)</v>
      </c>
      <c r="E81" s="45">
        <f t="shared" si="20"/>
        <v>5</v>
      </c>
      <c r="F81" s="46">
        <v>2.0</v>
      </c>
      <c r="G81" s="87">
        <v>58.0</v>
      </c>
      <c r="H81" s="88">
        <f t="shared" si="21"/>
        <v>290</v>
      </c>
      <c r="I81" s="89" t="s">
        <v>25</v>
      </c>
      <c r="K81" s="43"/>
    </row>
    <row r="82" ht="22.5" customHeight="1">
      <c r="A82" s="10" t="s">
        <v>264</v>
      </c>
      <c r="B82" s="11">
        <v>45863.0</v>
      </c>
      <c r="C82" s="11">
        <v>45864.0</v>
      </c>
      <c r="D82" s="86" t="str">
        <f t="shared" si="19"/>
        <v>07 (juillet)</v>
      </c>
      <c r="E82" s="45">
        <f t="shared" si="20"/>
        <v>1</v>
      </c>
      <c r="F82" s="46">
        <v>1.0</v>
      </c>
      <c r="G82" s="87">
        <v>58.0</v>
      </c>
      <c r="H82" s="88">
        <f t="shared" si="21"/>
        <v>58</v>
      </c>
      <c r="I82" s="89" t="s">
        <v>25</v>
      </c>
      <c r="K82" s="43"/>
    </row>
    <row r="83" ht="22.5" customHeight="1">
      <c r="A83" s="10" t="s">
        <v>265</v>
      </c>
      <c r="B83" s="11">
        <v>45864.0</v>
      </c>
      <c r="C83" s="11">
        <v>45870.0</v>
      </c>
      <c r="D83" s="86" t="str">
        <f t="shared" si="19"/>
        <v>07 (juillet)</v>
      </c>
      <c r="E83" s="45">
        <f t="shared" si="20"/>
        <v>6</v>
      </c>
      <c r="F83" s="46">
        <v>1.0</v>
      </c>
      <c r="G83" s="87">
        <v>60.0</v>
      </c>
      <c r="H83" s="88">
        <f t="shared" si="21"/>
        <v>360</v>
      </c>
      <c r="I83" s="89" t="s">
        <v>33</v>
      </c>
      <c r="J83" s="10" t="s">
        <v>228</v>
      </c>
      <c r="K83" s="43"/>
    </row>
    <row r="84" ht="22.5" customHeight="1">
      <c r="B84" s="19"/>
      <c r="C84" s="19"/>
      <c r="E84" s="20"/>
      <c r="F84" s="21"/>
      <c r="G84" s="90"/>
      <c r="H84" s="42"/>
      <c r="I84" s="22"/>
      <c r="K84" s="43"/>
    </row>
    <row r="85" ht="22.5" customHeight="1">
      <c r="A85" s="10" t="s">
        <v>265</v>
      </c>
      <c r="B85" s="11">
        <v>45870.0</v>
      </c>
      <c r="C85" s="11">
        <v>45875.0</v>
      </c>
      <c r="D85" s="86" t="str">
        <f t="shared" ref="D85:D88" si="22">TEXT(B85 ,"mm (mmmm)")</f>
        <v>08 (août)</v>
      </c>
      <c r="E85" s="45">
        <f t="shared" ref="E85:E92" si="23">C85-B85</f>
        <v>5</v>
      </c>
      <c r="F85" s="46">
        <v>1.0</v>
      </c>
      <c r="G85" s="87">
        <v>60.0</v>
      </c>
      <c r="H85" s="88">
        <f t="shared" ref="H85:H87" si="24">G85*E85</f>
        <v>300</v>
      </c>
      <c r="I85" s="89" t="s">
        <v>33</v>
      </c>
      <c r="J85" s="10" t="s">
        <v>228</v>
      </c>
      <c r="K85" s="43"/>
    </row>
    <row r="86" ht="22.5" customHeight="1">
      <c r="A86" s="10" t="s">
        <v>266</v>
      </c>
      <c r="B86" s="11">
        <v>45875.0</v>
      </c>
      <c r="C86" s="11">
        <v>45879.0</v>
      </c>
      <c r="D86" s="86" t="str">
        <f t="shared" si="22"/>
        <v>08 (août)</v>
      </c>
      <c r="E86" s="45">
        <f t="shared" si="23"/>
        <v>4</v>
      </c>
      <c r="F86" s="46">
        <v>2.0</v>
      </c>
      <c r="G86" s="87">
        <v>59.0</v>
      </c>
      <c r="H86" s="88">
        <f t="shared" si="24"/>
        <v>236</v>
      </c>
      <c r="I86" s="89" t="s">
        <v>25</v>
      </c>
      <c r="K86" s="43"/>
    </row>
    <row r="87" ht="22.5" customHeight="1">
      <c r="A87" s="10" t="s">
        <v>267</v>
      </c>
      <c r="B87" s="11">
        <v>45879.0</v>
      </c>
      <c r="C87" s="11">
        <v>45886.0</v>
      </c>
      <c r="D87" s="86" t="str">
        <f t="shared" si="22"/>
        <v>08 (août)</v>
      </c>
      <c r="E87" s="45">
        <f t="shared" si="23"/>
        <v>7</v>
      </c>
      <c r="F87" s="46">
        <v>2.0</v>
      </c>
      <c r="G87" s="87">
        <v>60.0</v>
      </c>
      <c r="H87" s="88">
        <f t="shared" si="24"/>
        <v>420</v>
      </c>
      <c r="I87" s="89" t="s">
        <v>27</v>
      </c>
      <c r="K87" s="43"/>
    </row>
    <row r="88" ht="22.5" customHeight="1">
      <c r="A88" s="10" t="s">
        <v>117</v>
      </c>
      <c r="B88" s="11">
        <v>45886.0</v>
      </c>
      <c r="C88" s="11">
        <v>45893.0</v>
      </c>
      <c r="D88" s="86" t="str">
        <f t="shared" si="22"/>
        <v>08 (août)</v>
      </c>
      <c r="E88" s="45">
        <f t="shared" si="23"/>
        <v>7</v>
      </c>
      <c r="F88" s="46">
        <v>2.0</v>
      </c>
      <c r="G88" s="87">
        <f>H88/E88</f>
        <v>59.42857143</v>
      </c>
      <c r="H88" s="47">
        <v>416.0</v>
      </c>
      <c r="I88" s="89" t="s">
        <v>25</v>
      </c>
      <c r="K88" s="43"/>
    </row>
    <row r="89" ht="22.5" customHeight="1">
      <c r="A89" s="10" t="s">
        <v>268</v>
      </c>
      <c r="B89" s="11">
        <v>45893.0</v>
      </c>
      <c r="C89" s="11">
        <v>45895.0</v>
      </c>
      <c r="D89" s="68">
        <f t="shared" ref="D89:D92" si="25">B89</f>
        <v>45893</v>
      </c>
      <c r="E89" s="24">
        <f t="shared" si="23"/>
        <v>2</v>
      </c>
      <c r="F89" s="25">
        <v>2.0</v>
      </c>
      <c r="G89" s="98">
        <v>59.5</v>
      </c>
      <c r="H89" s="50">
        <v>119.0</v>
      </c>
      <c r="I89" s="18" t="s">
        <v>25</v>
      </c>
      <c r="J89" s="28"/>
      <c r="K89" s="43"/>
    </row>
    <row r="90" ht="22.5" customHeight="1">
      <c r="A90" s="10" t="s">
        <v>269</v>
      </c>
      <c r="B90" s="11">
        <v>45895.0</v>
      </c>
      <c r="C90" s="11">
        <v>45896.0</v>
      </c>
      <c r="D90" s="68">
        <f t="shared" si="25"/>
        <v>45895</v>
      </c>
      <c r="E90" s="24">
        <f t="shared" si="23"/>
        <v>1</v>
      </c>
      <c r="F90" s="25">
        <v>2.0</v>
      </c>
      <c r="G90" s="98">
        <v>59.5</v>
      </c>
      <c r="H90" s="50">
        <v>59.5</v>
      </c>
      <c r="I90" s="18" t="s">
        <v>25</v>
      </c>
      <c r="K90" s="43"/>
    </row>
    <row r="91" ht="22.5" customHeight="1">
      <c r="A91" s="10" t="s">
        <v>270</v>
      </c>
      <c r="B91" s="11">
        <v>45896.0</v>
      </c>
      <c r="C91" s="11">
        <v>45900.0</v>
      </c>
      <c r="D91" s="68">
        <f t="shared" si="25"/>
        <v>45896</v>
      </c>
      <c r="E91" s="24">
        <f t="shared" si="23"/>
        <v>4</v>
      </c>
      <c r="F91" s="25">
        <v>2.0</v>
      </c>
      <c r="G91" s="98">
        <v>59.5</v>
      </c>
      <c r="H91" s="50">
        <v>238.0</v>
      </c>
      <c r="I91" s="18" t="s">
        <v>25</v>
      </c>
      <c r="K91" s="43"/>
    </row>
    <row r="92" ht="22.5" customHeight="1">
      <c r="A92" s="10" t="s">
        <v>271</v>
      </c>
      <c r="B92" s="11">
        <v>45900.0</v>
      </c>
      <c r="C92" s="11">
        <v>45901.0</v>
      </c>
      <c r="D92" s="68">
        <f t="shared" si="25"/>
        <v>45900</v>
      </c>
      <c r="E92" s="24">
        <f t="shared" si="23"/>
        <v>1</v>
      </c>
      <c r="F92" s="25">
        <v>2.0</v>
      </c>
      <c r="G92" s="87">
        <v>50.0</v>
      </c>
      <c r="H92" s="47">
        <v>100.0</v>
      </c>
      <c r="I92" s="89" t="s">
        <v>27</v>
      </c>
      <c r="J92" s="10" t="s">
        <v>272</v>
      </c>
      <c r="K92" s="43"/>
    </row>
    <row r="93" ht="22.5" customHeight="1">
      <c r="B93" s="19"/>
      <c r="C93" s="19"/>
      <c r="D93" s="23"/>
      <c r="E93" s="24"/>
      <c r="F93" s="27"/>
      <c r="G93" s="90"/>
      <c r="H93" s="42"/>
      <c r="I93" s="22"/>
      <c r="K93" s="43"/>
    </row>
    <row r="94" ht="22.5" customHeight="1">
      <c r="A94" s="10" t="s">
        <v>271</v>
      </c>
      <c r="B94" s="11">
        <v>45901.0</v>
      </c>
      <c r="C94" s="11">
        <v>45902.0</v>
      </c>
      <c r="D94" s="68">
        <f t="shared" ref="D94:D104" si="26">B94</f>
        <v>45901</v>
      </c>
      <c r="E94" s="24">
        <f t="shared" ref="E94:E104" si="27">C94-B94</f>
        <v>1</v>
      </c>
      <c r="F94" s="25">
        <v>2.0</v>
      </c>
      <c r="G94" s="87">
        <v>50.0</v>
      </c>
      <c r="H94" s="47">
        <v>100.0</v>
      </c>
      <c r="I94" s="89" t="s">
        <v>27</v>
      </c>
      <c r="J94" s="10" t="s">
        <v>272</v>
      </c>
      <c r="K94" s="43"/>
    </row>
    <row r="95" ht="22.5" customHeight="1">
      <c r="A95" s="10" t="s">
        <v>273</v>
      </c>
      <c r="B95" s="11">
        <v>45902.0</v>
      </c>
      <c r="C95" s="11">
        <v>45903.0</v>
      </c>
      <c r="D95" s="68">
        <f t="shared" si="26"/>
        <v>45902</v>
      </c>
      <c r="E95" s="24">
        <f t="shared" si="27"/>
        <v>1</v>
      </c>
      <c r="F95" s="25">
        <v>2.0</v>
      </c>
      <c r="G95" s="98">
        <v>50.15</v>
      </c>
      <c r="H95" s="50">
        <v>50.15</v>
      </c>
      <c r="I95" s="18" t="s">
        <v>25</v>
      </c>
      <c r="K95" s="43"/>
      <c r="O95" s="10" t="s">
        <v>40</v>
      </c>
    </row>
    <row r="96" ht="22.5" customHeight="1">
      <c r="A96" s="10" t="s">
        <v>274</v>
      </c>
      <c r="B96" s="11">
        <v>45903.0</v>
      </c>
      <c r="C96" s="11">
        <v>45908.0</v>
      </c>
      <c r="D96" s="68">
        <f t="shared" si="26"/>
        <v>45903</v>
      </c>
      <c r="E96" s="45">
        <f t="shared" si="27"/>
        <v>5</v>
      </c>
      <c r="F96" s="46">
        <v>2.0</v>
      </c>
      <c r="G96" s="87">
        <v>50.0</v>
      </c>
      <c r="H96" s="88">
        <f t="shared" ref="H96:H98" si="28">G96*E96</f>
        <v>250</v>
      </c>
      <c r="I96" s="89" t="s">
        <v>25</v>
      </c>
      <c r="K96" s="43"/>
    </row>
    <row r="97" ht="22.5" customHeight="1">
      <c r="A97" s="10" t="s">
        <v>137</v>
      </c>
      <c r="B97" s="11">
        <v>45909.0</v>
      </c>
      <c r="C97" s="11">
        <v>45914.0</v>
      </c>
      <c r="D97" s="68">
        <f t="shared" si="26"/>
        <v>45909</v>
      </c>
      <c r="E97" s="45">
        <f t="shared" si="27"/>
        <v>5</v>
      </c>
      <c r="F97" s="46">
        <v>1.0</v>
      </c>
      <c r="G97" s="87">
        <v>50.0</v>
      </c>
      <c r="H97" s="88">
        <f t="shared" si="28"/>
        <v>250</v>
      </c>
      <c r="I97" s="89" t="s">
        <v>65</v>
      </c>
      <c r="K97" s="43"/>
    </row>
    <row r="98" ht="22.5" customHeight="1">
      <c r="A98" s="10" t="s">
        <v>275</v>
      </c>
      <c r="B98" s="11">
        <v>45914.0</v>
      </c>
      <c r="C98" s="11">
        <v>45916.0</v>
      </c>
      <c r="D98" s="68">
        <f t="shared" si="26"/>
        <v>45914</v>
      </c>
      <c r="E98" s="45">
        <f t="shared" si="27"/>
        <v>2</v>
      </c>
      <c r="F98" s="46">
        <v>2.0</v>
      </c>
      <c r="G98" s="98">
        <v>50.0</v>
      </c>
      <c r="H98" s="88">
        <f t="shared" si="28"/>
        <v>100</v>
      </c>
      <c r="I98" s="18" t="s">
        <v>25</v>
      </c>
      <c r="J98" s="10"/>
      <c r="K98" s="69"/>
    </row>
    <row r="99" ht="22.5" customHeight="1">
      <c r="A99" s="10" t="s">
        <v>276</v>
      </c>
      <c r="B99" s="11">
        <v>45916.0</v>
      </c>
      <c r="C99" s="11">
        <v>45918.0</v>
      </c>
      <c r="D99" s="68">
        <f t="shared" si="26"/>
        <v>45916</v>
      </c>
      <c r="E99" s="45">
        <f t="shared" si="27"/>
        <v>2</v>
      </c>
      <c r="F99" s="46">
        <v>2.0</v>
      </c>
      <c r="G99" s="98">
        <v>50.0</v>
      </c>
      <c r="H99" s="50">
        <v>100.0</v>
      </c>
      <c r="I99" s="18" t="s">
        <v>27</v>
      </c>
      <c r="J99" s="10" t="s">
        <v>277</v>
      </c>
      <c r="K99" s="69" t="s">
        <v>278</v>
      </c>
    </row>
    <row r="100" ht="22.5" customHeight="1">
      <c r="A100" s="10" t="s">
        <v>279</v>
      </c>
      <c r="B100" s="11">
        <v>45918.0</v>
      </c>
      <c r="C100" s="11">
        <v>45919.0</v>
      </c>
      <c r="D100" s="68">
        <f t="shared" si="26"/>
        <v>45918</v>
      </c>
      <c r="E100" s="24">
        <f t="shared" si="27"/>
        <v>1</v>
      </c>
      <c r="F100" s="25">
        <v>2.0</v>
      </c>
      <c r="G100" s="98">
        <v>41.65</v>
      </c>
      <c r="H100" s="50">
        <v>41.65</v>
      </c>
      <c r="I100" s="18" t="s">
        <v>25</v>
      </c>
      <c r="K100" s="43"/>
    </row>
    <row r="101" ht="22.5" customHeight="1">
      <c r="A101" s="10" t="s">
        <v>280</v>
      </c>
      <c r="B101" s="11">
        <v>45920.0</v>
      </c>
      <c r="C101" s="11">
        <v>45922.0</v>
      </c>
      <c r="D101" s="68">
        <f t="shared" si="26"/>
        <v>45920</v>
      </c>
      <c r="E101" s="24">
        <f t="shared" si="27"/>
        <v>2</v>
      </c>
      <c r="F101" s="25">
        <v>2.0</v>
      </c>
      <c r="G101" s="98">
        <v>50.15</v>
      </c>
      <c r="H101" s="50">
        <v>100.3</v>
      </c>
      <c r="I101" s="18" t="s">
        <v>25</v>
      </c>
      <c r="K101" s="43"/>
    </row>
    <row r="102" ht="22.5" customHeight="1">
      <c r="A102" s="10" t="s">
        <v>281</v>
      </c>
      <c r="B102" s="11">
        <v>45922.0</v>
      </c>
      <c r="C102" s="11">
        <v>45925.0</v>
      </c>
      <c r="D102" s="68">
        <f t="shared" si="26"/>
        <v>45922</v>
      </c>
      <c r="E102" s="24">
        <f t="shared" si="27"/>
        <v>3</v>
      </c>
      <c r="F102" s="25">
        <v>1.0</v>
      </c>
      <c r="G102" s="98">
        <v>50.15</v>
      </c>
      <c r="H102" s="88">
        <f>G102*E102</f>
        <v>150.45</v>
      </c>
      <c r="I102" s="18" t="s">
        <v>25</v>
      </c>
      <c r="K102" s="43"/>
    </row>
    <row r="103" ht="22.5" customHeight="1">
      <c r="A103" s="10" t="s">
        <v>282</v>
      </c>
      <c r="B103" s="11">
        <v>45925.0</v>
      </c>
      <c r="C103" s="11">
        <v>45927.0</v>
      </c>
      <c r="D103" s="68">
        <f t="shared" si="26"/>
        <v>45925</v>
      </c>
      <c r="E103" s="24">
        <f t="shared" si="27"/>
        <v>2</v>
      </c>
      <c r="F103" s="25">
        <v>2.0</v>
      </c>
      <c r="G103" s="98">
        <v>50.15</v>
      </c>
      <c r="H103" s="50">
        <v>100.3</v>
      </c>
      <c r="I103" s="18" t="s">
        <v>25</v>
      </c>
      <c r="K103" s="43"/>
    </row>
    <row r="104" ht="22.5" customHeight="1">
      <c r="A104" s="10" t="s">
        <v>283</v>
      </c>
      <c r="B104" s="11">
        <v>45927.0</v>
      </c>
      <c r="C104" s="11">
        <v>45929.0</v>
      </c>
      <c r="D104" s="68">
        <f t="shared" si="26"/>
        <v>45927</v>
      </c>
      <c r="E104" s="24">
        <f t="shared" si="27"/>
        <v>2</v>
      </c>
      <c r="F104" s="25">
        <v>2.0</v>
      </c>
      <c r="G104" s="98">
        <v>50.15</v>
      </c>
      <c r="H104" s="50">
        <v>100.3</v>
      </c>
      <c r="I104" s="18" t="s">
        <v>25</v>
      </c>
      <c r="K104" s="43"/>
    </row>
    <row r="105" ht="22.5" customHeight="1">
      <c r="B105" s="19"/>
      <c r="C105" s="19"/>
      <c r="D105" s="23"/>
      <c r="E105" s="24"/>
      <c r="F105" s="27"/>
      <c r="G105" s="90"/>
      <c r="H105" s="42"/>
      <c r="I105" s="22"/>
      <c r="K105" s="43"/>
    </row>
    <row r="106" ht="22.5" customHeight="1">
      <c r="A106" s="10" t="s">
        <v>284</v>
      </c>
      <c r="B106" s="11">
        <v>45933.0</v>
      </c>
      <c r="C106" s="11">
        <v>45935.0</v>
      </c>
      <c r="D106" s="68">
        <f t="shared" ref="D106:D114" si="29">B106</f>
        <v>45933</v>
      </c>
      <c r="E106" s="24">
        <f t="shared" ref="E106:E114" si="30">C106-B106</f>
        <v>2</v>
      </c>
      <c r="F106" s="25">
        <v>2.0</v>
      </c>
      <c r="G106" s="98">
        <v>50.0</v>
      </c>
      <c r="H106" s="88">
        <f>G106*E106</f>
        <v>100</v>
      </c>
      <c r="I106" s="18" t="s">
        <v>27</v>
      </c>
      <c r="J106" s="10" t="s">
        <v>285</v>
      </c>
      <c r="K106" s="69" t="s">
        <v>286</v>
      </c>
    </row>
    <row r="107" ht="22.5" customHeight="1">
      <c r="A107" s="10" t="s">
        <v>287</v>
      </c>
      <c r="B107" s="11">
        <v>45935.0</v>
      </c>
      <c r="C107" s="11">
        <v>45936.0</v>
      </c>
      <c r="D107" s="68">
        <f t="shared" si="29"/>
        <v>45935</v>
      </c>
      <c r="E107" s="24">
        <f t="shared" si="30"/>
        <v>1</v>
      </c>
      <c r="F107" s="25">
        <v>2.0</v>
      </c>
      <c r="G107" s="98">
        <v>50.15</v>
      </c>
      <c r="H107" s="50">
        <v>50.15</v>
      </c>
      <c r="I107" s="18" t="s">
        <v>25</v>
      </c>
      <c r="K107" s="43"/>
      <c r="O107" s="10" t="s">
        <v>99</v>
      </c>
    </row>
    <row r="108" ht="22.5" customHeight="1">
      <c r="A108" s="10" t="s">
        <v>288</v>
      </c>
      <c r="B108" s="11">
        <v>45936.0</v>
      </c>
      <c r="C108" s="11">
        <v>45938.0</v>
      </c>
      <c r="D108" s="68">
        <f t="shared" si="29"/>
        <v>45936</v>
      </c>
      <c r="E108" s="24">
        <f t="shared" si="30"/>
        <v>2</v>
      </c>
      <c r="F108" s="25">
        <v>2.0</v>
      </c>
      <c r="G108" s="98">
        <v>55.0</v>
      </c>
      <c r="H108" s="88">
        <f>G108*E108</f>
        <v>110</v>
      </c>
      <c r="I108" s="18" t="s">
        <v>33</v>
      </c>
      <c r="J108" s="10" t="s">
        <v>289</v>
      </c>
      <c r="K108" s="69" t="s">
        <v>290</v>
      </c>
    </row>
    <row r="109" ht="22.5" customHeight="1">
      <c r="A109" s="10" t="s">
        <v>291</v>
      </c>
      <c r="B109" s="11">
        <v>45940.0</v>
      </c>
      <c r="C109" s="11">
        <v>45942.0</v>
      </c>
      <c r="D109" s="68">
        <f t="shared" si="29"/>
        <v>45940</v>
      </c>
      <c r="E109" s="24">
        <f t="shared" si="30"/>
        <v>2</v>
      </c>
      <c r="F109" s="25">
        <v>2.0</v>
      </c>
      <c r="G109" s="98">
        <v>50.15</v>
      </c>
      <c r="H109" s="50">
        <v>100.3</v>
      </c>
      <c r="I109" s="18" t="s">
        <v>25</v>
      </c>
      <c r="K109" s="43"/>
      <c r="O109" s="10" t="s">
        <v>40</v>
      </c>
    </row>
    <row r="110" ht="22.5" customHeight="1">
      <c r="A110" s="10" t="s">
        <v>292</v>
      </c>
      <c r="B110" s="11">
        <v>45943.0</v>
      </c>
      <c r="C110" s="11">
        <v>45945.0</v>
      </c>
      <c r="D110" s="68">
        <f t="shared" si="29"/>
        <v>45943</v>
      </c>
      <c r="E110" s="24">
        <f t="shared" si="30"/>
        <v>2</v>
      </c>
      <c r="F110" s="25">
        <v>1.0</v>
      </c>
      <c r="G110" s="98">
        <v>50.15</v>
      </c>
      <c r="H110" s="50">
        <v>100.3</v>
      </c>
      <c r="I110" s="18" t="s">
        <v>25</v>
      </c>
      <c r="K110" s="43"/>
      <c r="O110" s="10" t="s">
        <v>40</v>
      </c>
    </row>
    <row r="111" ht="22.5" customHeight="1">
      <c r="A111" s="10" t="s">
        <v>293</v>
      </c>
      <c r="B111" s="11">
        <v>45947.0</v>
      </c>
      <c r="C111" s="11">
        <v>45949.0</v>
      </c>
      <c r="D111" s="68">
        <f t="shared" si="29"/>
        <v>45947</v>
      </c>
      <c r="E111" s="24">
        <f t="shared" si="30"/>
        <v>2</v>
      </c>
      <c r="F111" s="25">
        <v>2.0</v>
      </c>
      <c r="G111" s="98">
        <v>55.0</v>
      </c>
      <c r="H111" s="88">
        <f t="shared" ref="H111:H112" si="31">G111*E111</f>
        <v>110</v>
      </c>
      <c r="I111" s="18" t="s">
        <v>33</v>
      </c>
      <c r="J111" s="10" t="s">
        <v>294</v>
      </c>
      <c r="K111" s="43"/>
    </row>
    <row r="112" ht="22.5" customHeight="1">
      <c r="A112" s="10" t="s">
        <v>54</v>
      </c>
      <c r="B112" s="11">
        <v>45954.0</v>
      </c>
      <c r="C112" s="11">
        <v>45959.0</v>
      </c>
      <c r="D112" s="68">
        <f t="shared" si="29"/>
        <v>45954</v>
      </c>
      <c r="E112" s="24">
        <f t="shared" si="30"/>
        <v>5</v>
      </c>
      <c r="F112" s="25">
        <v>1.0</v>
      </c>
      <c r="G112" s="98">
        <v>55.0</v>
      </c>
      <c r="H112" s="88">
        <f t="shared" si="31"/>
        <v>275</v>
      </c>
      <c r="I112" s="18" t="s">
        <v>33</v>
      </c>
      <c r="J112" s="10" t="s">
        <v>295</v>
      </c>
      <c r="K112" s="69" t="s">
        <v>296</v>
      </c>
    </row>
    <row r="113" ht="22.5" customHeight="1">
      <c r="A113" s="70" t="s">
        <v>297</v>
      </c>
      <c r="B113" s="71">
        <v>45959.0</v>
      </c>
      <c r="C113" s="71">
        <v>45961.0</v>
      </c>
      <c r="D113" s="68">
        <f t="shared" si="29"/>
        <v>45959</v>
      </c>
      <c r="E113" s="73">
        <f t="shared" si="30"/>
        <v>2</v>
      </c>
      <c r="F113" s="74">
        <v>2.0</v>
      </c>
      <c r="G113" s="99">
        <v>58.65</v>
      </c>
      <c r="H113" s="75">
        <v>117.3</v>
      </c>
      <c r="I113" s="76" t="s">
        <v>25</v>
      </c>
      <c r="J113" s="77"/>
      <c r="K113" s="78"/>
      <c r="L113" s="77"/>
      <c r="M113" s="77"/>
      <c r="N113" s="77"/>
      <c r="O113" s="79" t="s">
        <v>105</v>
      </c>
      <c r="P113" s="77"/>
      <c r="Q113" s="77"/>
      <c r="R113" s="77"/>
      <c r="S113" s="77"/>
      <c r="T113" s="77"/>
      <c r="U113" s="77"/>
      <c r="V113" s="77"/>
      <c r="W113" s="77"/>
      <c r="X113" s="77"/>
      <c r="Y113" s="80"/>
    </row>
    <row r="114" ht="22.5" customHeight="1">
      <c r="A114" s="10" t="s">
        <v>298</v>
      </c>
      <c r="B114" s="11">
        <v>45961.0</v>
      </c>
      <c r="C114" s="11">
        <v>45962.0</v>
      </c>
      <c r="D114" s="68">
        <f t="shared" si="29"/>
        <v>45961</v>
      </c>
      <c r="E114" s="24">
        <f t="shared" si="30"/>
        <v>1</v>
      </c>
      <c r="F114" s="25">
        <v>2.0</v>
      </c>
      <c r="G114" s="98">
        <v>118.15</v>
      </c>
      <c r="H114" s="50">
        <v>118.15</v>
      </c>
      <c r="I114" s="18" t="s">
        <v>25</v>
      </c>
      <c r="K114" s="43"/>
      <c r="O114" s="10" t="s">
        <v>105</v>
      </c>
    </row>
    <row r="115" ht="22.5" customHeight="1">
      <c r="A115" s="28"/>
      <c r="B115" s="19"/>
      <c r="C115" s="19"/>
      <c r="E115" s="20"/>
      <c r="F115" s="21"/>
      <c r="G115" s="90"/>
      <c r="H115" s="42"/>
      <c r="I115" s="22"/>
      <c r="J115" s="28"/>
      <c r="K115" s="43"/>
    </row>
    <row r="116" ht="22.5" customHeight="1">
      <c r="A116" s="10" t="s">
        <v>298</v>
      </c>
      <c r="B116" s="11">
        <v>45962.0</v>
      </c>
      <c r="C116" s="11">
        <v>45963.0</v>
      </c>
      <c r="D116" s="68">
        <f t="shared" ref="D116:D121" si="32">B116</f>
        <v>45962</v>
      </c>
      <c r="E116" s="20">
        <f t="shared" ref="E116:E121" si="33">C116-B116</f>
        <v>1</v>
      </c>
      <c r="F116" s="29">
        <v>2.0</v>
      </c>
      <c r="G116" s="98">
        <v>118.15</v>
      </c>
      <c r="H116" s="50">
        <v>118.15</v>
      </c>
      <c r="I116" s="18" t="s">
        <v>25</v>
      </c>
      <c r="J116" s="28"/>
      <c r="K116" s="43"/>
      <c r="O116" s="10" t="s">
        <v>105</v>
      </c>
    </row>
    <row r="117" ht="22.5" customHeight="1">
      <c r="A117" s="10" t="s">
        <v>299</v>
      </c>
      <c r="B117" s="11">
        <v>45963.0</v>
      </c>
      <c r="C117" s="11">
        <v>45970.0</v>
      </c>
      <c r="D117" s="68">
        <f t="shared" si="32"/>
        <v>45963</v>
      </c>
      <c r="E117" s="24">
        <f t="shared" si="33"/>
        <v>7</v>
      </c>
      <c r="F117" s="25">
        <v>2.0</v>
      </c>
      <c r="G117" s="98">
        <v>51.364285714285714</v>
      </c>
      <c r="H117" s="50">
        <v>359.55</v>
      </c>
      <c r="I117" s="18" t="s">
        <v>25</v>
      </c>
      <c r="K117" s="43"/>
      <c r="O117" s="10" t="s">
        <v>105</v>
      </c>
    </row>
    <row r="118" ht="22.5" customHeight="1">
      <c r="A118" s="10" t="s">
        <v>300</v>
      </c>
      <c r="B118" s="11">
        <v>45973.0</v>
      </c>
      <c r="C118" s="11">
        <v>45980.0</v>
      </c>
      <c r="D118" s="68">
        <f t="shared" si="32"/>
        <v>45973</v>
      </c>
      <c r="E118" s="20">
        <f t="shared" si="33"/>
        <v>7</v>
      </c>
      <c r="F118" s="29">
        <v>2.0</v>
      </c>
      <c r="G118" s="98">
        <v>50.15</v>
      </c>
      <c r="H118" s="50">
        <v>351.05</v>
      </c>
      <c r="I118" s="18" t="s">
        <v>25</v>
      </c>
      <c r="K118" s="43"/>
      <c r="O118" s="10" t="s">
        <v>105</v>
      </c>
    </row>
    <row r="119" ht="22.5" customHeight="1">
      <c r="A119" s="10" t="s">
        <v>301</v>
      </c>
      <c r="B119" s="11">
        <v>45982.0</v>
      </c>
      <c r="C119" s="11">
        <v>45984.0</v>
      </c>
      <c r="D119" s="68">
        <f t="shared" si="32"/>
        <v>45982</v>
      </c>
      <c r="E119" s="20">
        <f t="shared" si="33"/>
        <v>2</v>
      </c>
      <c r="F119" s="29">
        <v>2.0</v>
      </c>
      <c r="G119" s="98">
        <v>50.15</v>
      </c>
      <c r="H119" s="50">
        <v>100.3</v>
      </c>
      <c r="I119" s="18" t="s">
        <v>25</v>
      </c>
      <c r="K119" s="43"/>
      <c r="O119" s="10" t="s">
        <v>105</v>
      </c>
    </row>
    <row r="120" ht="22.5" customHeight="1">
      <c r="A120" s="10" t="s">
        <v>302</v>
      </c>
      <c r="B120" s="11">
        <v>45986.0</v>
      </c>
      <c r="C120" s="11">
        <v>45988.0</v>
      </c>
      <c r="D120" s="68">
        <f t="shared" si="32"/>
        <v>45986</v>
      </c>
      <c r="E120" s="20">
        <f t="shared" si="33"/>
        <v>2</v>
      </c>
      <c r="F120" s="29">
        <v>2.0</v>
      </c>
      <c r="G120" s="98">
        <v>41.65</v>
      </c>
      <c r="H120" s="50">
        <v>83.3</v>
      </c>
      <c r="I120" s="18" t="s">
        <v>25</v>
      </c>
      <c r="K120" s="43"/>
      <c r="O120" s="10" t="s">
        <v>107</v>
      </c>
    </row>
    <row r="121" ht="22.5" customHeight="1">
      <c r="A121" s="10" t="s">
        <v>303</v>
      </c>
      <c r="B121" s="11">
        <v>45988.0</v>
      </c>
      <c r="C121" s="11">
        <v>45991.0</v>
      </c>
      <c r="D121" s="68">
        <f t="shared" si="32"/>
        <v>45988</v>
      </c>
      <c r="E121" s="20">
        <f t="shared" si="33"/>
        <v>3</v>
      </c>
      <c r="F121" s="29">
        <v>2.0</v>
      </c>
      <c r="G121" s="98">
        <v>50.15</v>
      </c>
      <c r="H121" s="50">
        <v>150.45</v>
      </c>
      <c r="I121" s="18" t="s">
        <v>25</v>
      </c>
      <c r="K121" s="43"/>
      <c r="O121" s="10" t="s">
        <v>105</v>
      </c>
    </row>
    <row r="122" ht="22.5" customHeight="1">
      <c r="A122" s="28"/>
      <c r="B122" s="19"/>
      <c r="C122" s="19"/>
      <c r="D122" s="28"/>
      <c r="E122" s="20"/>
      <c r="F122" s="21"/>
      <c r="G122" s="90"/>
      <c r="H122" s="42"/>
      <c r="I122" s="22"/>
      <c r="J122" s="28"/>
      <c r="K122" s="43"/>
    </row>
    <row r="123" ht="22.5" customHeight="1">
      <c r="A123" s="10" t="s">
        <v>304</v>
      </c>
      <c r="B123" s="11">
        <v>45992.0</v>
      </c>
      <c r="C123" s="11">
        <v>45997.0</v>
      </c>
      <c r="D123" s="68">
        <f t="shared" ref="D123:D127" si="34">B123</f>
        <v>45992</v>
      </c>
      <c r="E123" s="32">
        <v>5.0</v>
      </c>
      <c r="F123" s="29">
        <v>2.0</v>
      </c>
      <c r="G123" s="98">
        <v>50.0</v>
      </c>
      <c r="H123" s="42">
        <f>G123*E123</f>
        <v>250</v>
      </c>
      <c r="I123" s="18" t="s">
        <v>195</v>
      </c>
      <c r="J123" s="10" t="s">
        <v>305</v>
      </c>
      <c r="K123" s="69" t="s">
        <v>306</v>
      </c>
    </row>
    <row r="124" ht="22.5" customHeight="1">
      <c r="A124" s="10" t="s">
        <v>307</v>
      </c>
      <c r="B124" s="11">
        <v>46003.0</v>
      </c>
      <c r="C124" s="11">
        <v>46006.0</v>
      </c>
      <c r="D124" s="68">
        <f t="shared" si="34"/>
        <v>46003</v>
      </c>
      <c r="E124" s="24">
        <f t="shared" ref="E124:E127" si="35">C124-B124</f>
        <v>3</v>
      </c>
      <c r="F124" s="25">
        <v>2.0</v>
      </c>
      <c r="G124" s="98">
        <v>50.15</v>
      </c>
      <c r="H124" s="50">
        <v>150.45</v>
      </c>
      <c r="I124" s="18" t="s">
        <v>25</v>
      </c>
      <c r="K124" s="43"/>
      <c r="O124" s="10" t="s">
        <v>105</v>
      </c>
    </row>
    <row r="125" ht="22.5" customHeight="1">
      <c r="A125" s="10" t="s">
        <v>308</v>
      </c>
      <c r="B125" s="11">
        <v>46012.0</v>
      </c>
      <c r="C125" s="11">
        <v>46016.0</v>
      </c>
      <c r="D125" s="68">
        <f t="shared" si="34"/>
        <v>46012</v>
      </c>
      <c r="E125" s="20">
        <f t="shared" si="35"/>
        <v>4</v>
      </c>
      <c r="F125" s="29">
        <v>2.0</v>
      </c>
      <c r="G125" s="98">
        <v>60.0</v>
      </c>
      <c r="H125" s="42">
        <f>G125*E125</f>
        <v>240</v>
      </c>
      <c r="I125" s="18" t="s">
        <v>195</v>
      </c>
      <c r="J125" s="10" t="s">
        <v>309</v>
      </c>
      <c r="K125" s="43"/>
      <c r="O125" s="10" t="s">
        <v>107</v>
      </c>
    </row>
    <row r="126" ht="22.5" customHeight="1">
      <c r="A126" s="10" t="s">
        <v>310</v>
      </c>
      <c r="B126" s="11">
        <v>46016.0</v>
      </c>
      <c r="C126" s="11">
        <v>46019.0</v>
      </c>
      <c r="D126" s="68">
        <f t="shared" si="34"/>
        <v>46016</v>
      </c>
      <c r="E126" s="48">
        <f t="shared" si="35"/>
        <v>3</v>
      </c>
      <c r="F126" s="10">
        <v>2.0</v>
      </c>
      <c r="G126" s="98">
        <v>58.303333333333335</v>
      </c>
      <c r="H126" s="50">
        <v>174.91</v>
      </c>
      <c r="I126" s="18" t="s">
        <v>25</v>
      </c>
      <c r="K126" s="43"/>
      <c r="O126" s="10" t="s">
        <v>107</v>
      </c>
    </row>
    <row r="127" ht="22.5" customHeight="1">
      <c r="A127" s="10" t="s">
        <v>311</v>
      </c>
      <c r="B127" s="11">
        <v>46021.0</v>
      </c>
      <c r="C127" s="11">
        <v>46022.0</v>
      </c>
      <c r="D127" s="68">
        <f t="shared" si="34"/>
        <v>46021</v>
      </c>
      <c r="E127" s="20">
        <f t="shared" si="35"/>
        <v>1</v>
      </c>
      <c r="F127" s="29">
        <v>2.0</v>
      </c>
      <c r="G127" s="98">
        <v>58.305</v>
      </c>
      <c r="H127" s="50">
        <v>116.61</v>
      </c>
      <c r="I127" s="18" t="s">
        <v>25</v>
      </c>
      <c r="K127" s="43"/>
      <c r="O127" s="10" t="s">
        <v>107</v>
      </c>
    </row>
    <row r="128" ht="22.5" customHeight="1">
      <c r="B128" s="19"/>
      <c r="C128" s="19"/>
      <c r="E128" s="20"/>
      <c r="F128" s="21"/>
      <c r="G128" s="90"/>
      <c r="H128" s="42"/>
      <c r="I128" s="22"/>
      <c r="K128" s="43"/>
    </row>
    <row r="129" ht="22.5" customHeight="1">
      <c r="B129" s="19"/>
      <c r="C129" s="19"/>
      <c r="E129" s="20"/>
      <c r="F129" s="21"/>
      <c r="G129" s="90"/>
      <c r="H129" s="42"/>
      <c r="I129" s="22"/>
      <c r="K129" s="43"/>
    </row>
    <row r="130" ht="22.5" customHeight="1">
      <c r="B130" s="19"/>
      <c r="C130" s="19"/>
      <c r="E130" s="20"/>
      <c r="F130" s="21"/>
      <c r="G130" s="90"/>
      <c r="H130" s="42"/>
      <c r="I130" s="22"/>
      <c r="K130" s="43"/>
    </row>
    <row r="131" ht="22.5" customHeight="1">
      <c r="A131" s="28"/>
      <c r="B131" s="19"/>
      <c r="C131" s="19"/>
      <c r="F131" s="28"/>
      <c r="G131" s="90"/>
      <c r="H131" s="42"/>
      <c r="I131" s="22"/>
      <c r="K131" s="43"/>
    </row>
    <row r="132" ht="22.5" customHeight="1">
      <c r="B132" s="19"/>
      <c r="C132" s="19"/>
      <c r="E132" s="20"/>
      <c r="F132" s="21"/>
      <c r="G132" s="90"/>
      <c r="H132" s="42"/>
      <c r="I132" s="22"/>
      <c r="K132" s="43"/>
    </row>
    <row r="133" ht="22.5" customHeight="1">
      <c r="A133" s="28"/>
      <c r="B133" s="19"/>
      <c r="C133" s="19"/>
      <c r="E133" s="20"/>
      <c r="F133" s="21"/>
      <c r="G133" s="90"/>
      <c r="H133" s="42"/>
      <c r="I133" s="22"/>
      <c r="K133" s="43"/>
    </row>
    <row r="134" ht="22.5" customHeight="1">
      <c r="B134" s="19"/>
      <c r="C134" s="19"/>
      <c r="E134" s="20"/>
      <c r="F134" s="21"/>
      <c r="G134" s="90"/>
      <c r="H134" s="42"/>
      <c r="I134" s="22"/>
      <c r="K134" s="43"/>
    </row>
    <row r="135" ht="22.5" customHeight="1">
      <c r="B135" s="19"/>
      <c r="C135" s="19"/>
      <c r="D135" s="23"/>
      <c r="E135" s="24"/>
      <c r="F135" s="27"/>
      <c r="G135" s="90"/>
      <c r="H135" s="42"/>
      <c r="I135" s="22"/>
      <c r="K135" s="43"/>
    </row>
    <row r="136" ht="22.5" customHeight="1">
      <c r="B136" s="19"/>
      <c r="C136" s="19"/>
      <c r="D136" s="23"/>
      <c r="E136" s="24"/>
      <c r="F136" s="27"/>
      <c r="G136" s="90"/>
      <c r="H136" s="42"/>
      <c r="I136" s="22"/>
      <c r="K136" s="43"/>
    </row>
    <row r="137" ht="22.5" customHeight="1">
      <c r="A137" s="28"/>
      <c r="B137" s="19"/>
      <c r="C137" s="19"/>
      <c r="E137" s="20"/>
      <c r="F137" s="21"/>
      <c r="G137" s="90"/>
      <c r="H137" s="42"/>
      <c r="I137" s="22"/>
      <c r="J137" s="28"/>
      <c r="K137" s="43"/>
    </row>
    <row r="138" ht="22.5" customHeight="1">
      <c r="A138" s="28"/>
      <c r="B138" s="19"/>
      <c r="C138" s="19"/>
      <c r="D138" s="28"/>
      <c r="E138" s="20"/>
      <c r="F138" s="21"/>
      <c r="G138" s="90"/>
      <c r="H138" s="42"/>
      <c r="I138" s="22"/>
      <c r="J138" s="28"/>
      <c r="K138" s="43"/>
    </row>
    <row r="139" ht="22.5" customHeight="1">
      <c r="A139" s="28"/>
      <c r="B139" s="19"/>
      <c r="C139" s="19"/>
      <c r="E139" s="20"/>
      <c r="F139" s="21"/>
      <c r="G139" s="90"/>
      <c r="H139" s="42"/>
      <c r="I139" s="22"/>
      <c r="K139" s="43"/>
    </row>
    <row r="140" ht="22.5" customHeight="1">
      <c r="B140" s="19"/>
      <c r="C140" s="19"/>
      <c r="E140" s="20"/>
      <c r="F140" s="21"/>
      <c r="G140" s="90"/>
      <c r="H140" s="42"/>
      <c r="I140" s="22"/>
      <c r="K140" s="43"/>
    </row>
    <row r="141" ht="22.5" customHeight="1">
      <c r="B141" s="19"/>
      <c r="C141" s="19"/>
      <c r="D141" s="23"/>
      <c r="E141" s="24"/>
      <c r="F141" s="27"/>
      <c r="G141" s="90"/>
      <c r="H141" s="42"/>
      <c r="I141" s="22"/>
      <c r="K141" s="43"/>
    </row>
    <row r="142" ht="22.5" customHeight="1">
      <c r="B142" s="19"/>
      <c r="C142" s="19"/>
      <c r="D142" s="23"/>
      <c r="E142" s="24"/>
      <c r="F142" s="27"/>
      <c r="G142" s="90"/>
      <c r="H142" s="42"/>
      <c r="I142" s="22"/>
      <c r="K142" s="43"/>
    </row>
    <row r="143" ht="22.5" customHeight="1">
      <c r="A143" s="28"/>
      <c r="B143" s="19"/>
      <c r="C143" s="19"/>
      <c r="F143" s="28"/>
      <c r="G143" s="90"/>
      <c r="H143" s="42"/>
      <c r="I143" s="22"/>
      <c r="K143" s="43"/>
    </row>
    <row r="144" ht="22.5" customHeight="1">
      <c r="A144" s="28"/>
      <c r="B144" s="19"/>
      <c r="C144" s="19"/>
      <c r="D144" s="28"/>
      <c r="E144" s="20"/>
      <c r="F144" s="21"/>
      <c r="G144" s="90"/>
      <c r="H144" s="42"/>
      <c r="I144" s="22"/>
      <c r="J144" s="28"/>
      <c r="K144" s="43"/>
    </row>
    <row r="145" ht="22.5" customHeight="1">
      <c r="B145" s="19"/>
      <c r="C145" s="19"/>
      <c r="E145" s="20"/>
      <c r="F145" s="21"/>
      <c r="G145" s="90"/>
      <c r="H145" s="42"/>
      <c r="I145" s="22"/>
      <c r="K145" s="43"/>
    </row>
    <row r="146" ht="22.5" customHeight="1">
      <c r="B146" s="19"/>
      <c r="C146" s="19"/>
      <c r="E146" s="20"/>
      <c r="F146" s="21"/>
      <c r="G146" s="90"/>
      <c r="H146" s="42"/>
      <c r="I146" s="22"/>
      <c r="K146" s="43"/>
    </row>
    <row r="147" ht="22.5" customHeight="1">
      <c r="B147" s="19"/>
      <c r="C147" s="19"/>
      <c r="E147" s="20"/>
      <c r="F147" s="21"/>
      <c r="G147" s="90"/>
      <c r="H147" s="42"/>
      <c r="I147" s="22"/>
      <c r="K147" s="43"/>
    </row>
    <row r="148" ht="22.5" customHeight="1">
      <c r="B148" s="19"/>
      <c r="C148" s="19"/>
      <c r="E148" s="20"/>
      <c r="F148" s="21"/>
      <c r="G148" s="90"/>
      <c r="H148" s="42"/>
      <c r="I148" s="22"/>
      <c r="K148" s="43"/>
    </row>
    <row r="149" ht="22.5" customHeight="1">
      <c r="A149" s="28"/>
      <c r="B149" s="19"/>
      <c r="C149" s="19"/>
      <c r="E149" s="20"/>
      <c r="F149" s="21"/>
      <c r="G149" s="90"/>
      <c r="H149" s="42"/>
      <c r="I149" s="22"/>
      <c r="K149" s="43"/>
    </row>
    <row r="150" ht="22.5" customHeight="1">
      <c r="B150" s="19"/>
      <c r="C150" s="19"/>
      <c r="E150" s="20"/>
      <c r="F150" s="21"/>
      <c r="G150" s="90"/>
      <c r="H150" s="42"/>
      <c r="I150" s="22"/>
      <c r="K150" s="43"/>
    </row>
    <row r="151" ht="22.5" customHeight="1">
      <c r="B151" s="19"/>
      <c r="C151" s="19"/>
      <c r="D151" s="23"/>
      <c r="E151" s="24"/>
      <c r="F151" s="27"/>
      <c r="G151" s="90"/>
      <c r="H151" s="42"/>
      <c r="I151" s="22"/>
      <c r="K151" s="43"/>
    </row>
    <row r="152" ht="22.5" customHeight="1">
      <c r="B152" s="19"/>
      <c r="C152" s="19"/>
      <c r="D152" s="23"/>
      <c r="E152" s="24"/>
      <c r="F152" s="27"/>
      <c r="G152" s="90"/>
      <c r="H152" s="42"/>
      <c r="I152" s="22"/>
      <c r="K152" s="43"/>
    </row>
    <row r="153" ht="22.5" customHeight="1">
      <c r="B153" s="19"/>
      <c r="C153" s="19"/>
      <c r="D153" s="100"/>
      <c r="F153" s="28"/>
      <c r="G153" s="90"/>
      <c r="H153" s="42"/>
      <c r="I153" s="22"/>
      <c r="K153" s="43"/>
    </row>
    <row r="154" ht="22.5" customHeight="1">
      <c r="B154" s="19"/>
      <c r="C154" s="19"/>
      <c r="D154" s="100"/>
      <c r="F154" s="28"/>
      <c r="G154" s="90"/>
      <c r="H154" s="42"/>
      <c r="I154" s="22"/>
      <c r="K154" s="43"/>
    </row>
    <row r="155" ht="22.5" customHeight="1">
      <c r="B155" s="19"/>
      <c r="C155" s="19"/>
      <c r="D155" s="100"/>
      <c r="F155" s="28"/>
      <c r="G155" s="90"/>
      <c r="H155" s="42"/>
      <c r="I155" s="22"/>
      <c r="K155" s="43"/>
    </row>
    <row r="156" ht="22.5" customHeight="1">
      <c r="B156" s="19"/>
      <c r="C156" s="19"/>
      <c r="D156" s="100"/>
      <c r="F156" s="28"/>
      <c r="G156" s="90"/>
      <c r="H156" s="42"/>
      <c r="I156" s="22"/>
      <c r="K156" s="43"/>
    </row>
    <row r="157" ht="22.5" customHeight="1">
      <c r="B157" s="19"/>
      <c r="C157" s="19"/>
      <c r="D157" s="100"/>
      <c r="F157" s="28"/>
      <c r="G157" s="90"/>
      <c r="H157" s="42"/>
      <c r="I157" s="22"/>
      <c r="K157" s="43"/>
    </row>
    <row r="158" ht="22.5" customHeight="1">
      <c r="B158" s="19"/>
      <c r="C158" s="19"/>
      <c r="D158" s="100"/>
      <c r="F158" s="28"/>
      <c r="G158" s="90"/>
      <c r="H158" s="42"/>
      <c r="I158" s="22"/>
      <c r="K158" s="43"/>
    </row>
    <row r="159" ht="22.5" customHeight="1">
      <c r="B159" s="19"/>
      <c r="C159" s="19"/>
      <c r="D159" s="100"/>
      <c r="F159" s="28"/>
      <c r="G159" s="90"/>
      <c r="H159" s="42"/>
      <c r="I159" s="22"/>
      <c r="K159" s="43"/>
    </row>
    <row r="160" ht="22.5" customHeight="1">
      <c r="B160" s="19"/>
      <c r="C160" s="19"/>
      <c r="D160" s="100"/>
      <c r="F160" s="28"/>
      <c r="G160" s="90"/>
      <c r="H160" s="42"/>
      <c r="I160" s="22"/>
      <c r="K160" s="43"/>
    </row>
    <row r="161" ht="22.5" customHeight="1">
      <c r="B161" s="19"/>
      <c r="C161" s="19"/>
      <c r="D161" s="100"/>
      <c r="F161" s="28"/>
      <c r="G161" s="90"/>
      <c r="H161" s="42"/>
      <c r="I161" s="22"/>
      <c r="K161" s="43"/>
    </row>
    <row r="162" ht="22.5" customHeight="1">
      <c r="B162" s="19"/>
      <c r="C162" s="19"/>
      <c r="D162" s="100"/>
      <c r="F162" s="28"/>
      <c r="G162" s="90"/>
      <c r="H162" s="42"/>
      <c r="I162" s="22"/>
      <c r="K162" s="43"/>
    </row>
    <row r="163" ht="22.5" customHeight="1">
      <c r="B163" s="19"/>
      <c r="C163" s="19"/>
      <c r="D163" s="100"/>
      <c r="F163" s="28"/>
      <c r="G163" s="90"/>
      <c r="H163" s="42"/>
      <c r="I163" s="22"/>
      <c r="K163" s="43"/>
    </row>
    <row r="164" ht="22.5" customHeight="1">
      <c r="B164" s="19"/>
      <c r="C164" s="19"/>
      <c r="D164" s="100"/>
      <c r="F164" s="28"/>
      <c r="G164" s="90"/>
      <c r="H164" s="42"/>
      <c r="I164" s="22"/>
      <c r="K164" s="43"/>
    </row>
    <row r="165" ht="22.5" customHeight="1">
      <c r="B165" s="19"/>
      <c r="C165" s="19"/>
      <c r="D165" s="100"/>
      <c r="F165" s="28"/>
      <c r="G165" s="90"/>
      <c r="H165" s="42"/>
      <c r="I165" s="22"/>
      <c r="K165" s="43"/>
    </row>
    <row r="166" ht="22.5" customHeight="1">
      <c r="B166" s="19"/>
      <c r="C166" s="19"/>
      <c r="D166" s="100"/>
      <c r="F166" s="28"/>
      <c r="G166" s="90"/>
      <c r="H166" s="42"/>
      <c r="I166" s="22"/>
      <c r="K166" s="43"/>
    </row>
    <row r="167" ht="22.5" customHeight="1">
      <c r="B167" s="19"/>
      <c r="C167" s="19"/>
      <c r="D167" s="100"/>
      <c r="F167" s="28"/>
      <c r="G167" s="90"/>
      <c r="H167" s="42"/>
      <c r="I167" s="22"/>
      <c r="K167" s="43"/>
    </row>
    <row r="168" ht="22.5" customHeight="1">
      <c r="B168" s="19"/>
      <c r="C168" s="19"/>
      <c r="D168" s="100"/>
      <c r="F168" s="28"/>
      <c r="G168" s="90"/>
      <c r="H168" s="42"/>
      <c r="I168" s="22"/>
      <c r="K168" s="43"/>
    </row>
    <row r="169" ht="22.5" customHeight="1">
      <c r="B169" s="19"/>
      <c r="C169" s="19"/>
      <c r="D169" s="100"/>
      <c r="F169" s="28"/>
      <c r="G169" s="90"/>
      <c r="H169" s="42"/>
      <c r="I169" s="22"/>
      <c r="K169" s="43"/>
    </row>
    <row r="170" ht="22.5" customHeight="1">
      <c r="B170" s="19"/>
      <c r="C170" s="19"/>
      <c r="D170" s="100"/>
      <c r="F170" s="28"/>
      <c r="G170" s="90"/>
      <c r="H170" s="42"/>
      <c r="I170" s="22"/>
      <c r="K170" s="43"/>
    </row>
    <row r="171" ht="22.5" customHeight="1">
      <c r="B171" s="19"/>
      <c r="C171" s="19"/>
      <c r="D171" s="100"/>
      <c r="F171" s="28"/>
      <c r="G171" s="90"/>
      <c r="H171" s="42"/>
      <c r="I171" s="22"/>
      <c r="K171" s="43"/>
    </row>
    <row r="172" ht="22.5" customHeight="1">
      <c r="B172" s="19"/>
      <c r="C172" s="19"/>
      <c r="D172" s="100"/>
      <c r="F172" s="28"/>
      <c r="G172" s="90"/>
      <c r="H172" s="42"/>
      <c r="I172" s="22"/>
      <c r="K172" s="43"/>
    </row>
    <row r="173" ht="22.5" customHeight="1">
      <c r="B173" s="19"/>
      <c r="C173" s="19"/>
      <c r="D173" s="100"/>
      <c r="F173" s="28"/>
      <c r="G173" s="90"/>
      <c r="H173" s="42"/>
      <c r="I173" s="22"/>
      <c r="K173" s="43"/>
    </row>
    <row r="174" ht="22.5" customHeight="1">
      <c r="B174" s="19"/>
      <c r="C174" s="19"/>
      <c r="D174" s="100"/>
      <c r="F174" s="28"/>
      <c r="G174" s="90"/>
      <c r="H174" s="42"/>
      <c r="I174" s="22"/>
      <c r="K174" s="43"/>
    </row>
    <row r="175" ht="22.5" customHeight="1">
      <c r="B175" s="19"/>
      <c r="C175" s="19"/>
      <c r="D175" s="100"/>
      <c r="F175" s="28"/>
      <c r="G175" s="90"/>
      <c r="H175" s="42"/>
      <c r="I175" s="22"/>
      <c r="K175" s="43"/>
    </row>
    <row r="176" ht="22.5" customHeight="1">
      <c r="B176" s="19"/>
      <c r="C176" s="19"/>
      <c r="D176" s="100"/>
      <c r="F176" s="28"/>
      <c r="G176" s="90"/>
      <c r="H176" s="42"/>
      <c r="I176" s="22"/>
      <c r="K176" s="43"/>
    </row>
    <row r="177" ht="22.5" customHeight="1">
      <c r="B177" s="19"/>
      <c r="C177" s="19"/>
      <c r="D177" s="100"/>
      <c r="F177" s="28"/>
      <c r="G177" s="90"/>
      <c r="H177" s="42"/>
      <c r="I177" s="22"/>
      <c r="K177" s="43"/>
    </row>
    <row r="178" ht="22.5" customHeight="1">
      <c r="B178" s="19"/>
      <c r="C178" s="19"/>
      <c r="D178" s="100"/>
      <c r="F178" s="28"/>
      <c r="G178" s="90"/>
      <c r="H178" s="42"/>
      <c r="I178" s="22"/>
      <c r="K178" s="43"/>
    </row>
    <row r="179" ht="22.5" customHeight="1">
      <c r="B179" s="19"/>
      <c r="C179" s="19"/>
      <c r="D179" s="100"/>
      <c r="F179" s="28"/>
      <c r="G179" s="90"/>
      <c r="H179" s="42"/>
      <c r="I179" s="22"/>
      <c r="K179" s="43"/>
    </row>
    <row r="180" ht="22.5" customHeight="1">
      <c r="B180" s="19"/>
      <c r="C180" s="19"/>
      <c r="D180" s="100"/>
      <c r="F180" s="28"/>
      <c r="G180" s="90"/>
      <c r="H180" s="42"/>
      <c r="I180" s="22"/>
      <c r="K180" s="43"/>
    </row>
    <row r="181" ht="22.5" customHeight="1">
      <c r="B181" s="19"/>
      <c r="C181" s="19"/>
      <c r="D181" s="100"/>
      <c r="F181" s="28"/>
      <c r="G181" s="90"/>
      <c r="H181" s="42"/>
      <c r="I181" s="22"/>
      <c r="K181" s="43"/>
    </row>
    <row r="182" ht="22.5" customHeight="1">
      <c r="B182" s="19"/>
      <c r="C182" s="19"/>
      <c r="D182" s="100"/>
      <c r="F182" s="28"/>
      <c r="G182" s="90"/>
      <c r="H182" s="42"/>
      <c r="I182" s="22"/>
      <c r="K182" s="43"/>
    </row>
    <row r="183" ht="22.5" customHeight="1">
      <c r="B183" s="19"/>
      <c r="C183" s="19"/>
      <c r="D183" s="100"/>
      <c r="F183" s="28"/>
      <c r="G183" s="90"/>
      <c r="H183" s="42"/>
      <c r="I183" s="22"/>
      <c r="K183" s="43"/>
    </row>
    <row r="184" ht="22.5" customHeight="1">
      <c r="B184" s="19"/>
      <c r="C184" s="19"/>
      <c r="D184" s="100"/>
      <c r="F184" s="28"/>
      <c r="G184" s="90"/>
      <c r="H184" s="42"/>
      <c r="I184" s="22"/>
      <c r="K184" s="43"/>
    </row>
    <row r="185" ht="22.5" customHeight="1">
      <c r="B185" s="19"/>
      <c r="C185" s="19"/>
      <c r="D185" s="100"/>
      <c r="F185" s="28"/>
      <c r="G185" s="90"/>
      <c r="H185" s="42"/>
      <c r="I185" s="22"/>
      <c r="K185" s="43"/>
    </row>
    <row r="186" ht="22.5" customHeight="1">
      <c r="B186" s="19"/>
      <c r="C186" s="19"/>
      <c r="D186" s="100"/>
      <c r="F186" s="28"/>
      <c r="G186" s="90"/>
      <c r="H186" s="42"/>
      <c r="I186" s="22"/>
      <c r="K186" s="43"/>
    </row>
    <row r="187" ht="22.5" customHeight="1">
      <c r="B187" s="19"/>
      <c r="C187" s="19"/>
      <c r="D187" s="100"/>
      <c r="F187" s="28"/>
      <c r="G187" s="90"/>
      <c r="H187" s="42"/>
      <c r="I187" s="22"/>
      <c r="K187" s="43"/>
    </row>
    <row r="188" ht="22.5" customHeight="1">
      <c r="B188" s="19"/>
      <c r="C188" s="19"/>
      <c r="D188" s="100"/>
      <c r="F188" s="28"/>
      <c r="G188" s="90"/>
      <c r="H188" s="42"/>
      <c r="I188" s="22"/>
      <c r="K188" s="43"/>
    </row>
    <row r="189" ht="22.5" customHeight="1">
      <c r="B189" s="19"/>
      <c r="C189" s="19"/>
      <c r="D189" s="100"/>
      <c r="F189" s="28"/>
      <c r="G189" s="90"/>
      <c r="H189" s="42"/>
      <c r="I189" s="22"/>
      <c r="K189" s="43"/>
    </row>
    <row r="190" ht="22.5" customHeight="1">
      <c r="B190" s="19"/>
      <c r="C190" s="19"/>
      <c r="D190" s="100"/>
      <c r="F190" s="28"/>
      <c r="G190" s="90"/>
      <c r="H190" s="42"/>
      <c r="I190" s="22"/>
      <c r="K190" s="43"/>
    </row>
    <row r="191" ht="22.5" customHeight="1">
      <c r="B191" s="19"/>
      <c r="C191" s="19"/>
      <c r="D191" s="100"/>
      <c r="F191" s="28"/>
      <c r="G191" s="90"/>
      <c r="H191" s="42"/>
      <c r="I191" s="22"/>
      <c r="K191" s="43"/>
    </row>
    <row r="192" ht="22.5" customHeight="1">
      <c r="B192" s="19"/>
      <c r="C192" s="19"/>
      <c r="D192" s="100"/>
      <c r="F192" s="28"/>
      <c r="G192" s="90"/>
      <c r="H192" s="42"/>
      <c r="I192" s="22"/>
      <c r="K192" s="43"/>
    </row>
    <row r="193" ht="22.5" customHeight="1">
      <c r="B193" s="19"/>
      <c r="C193" s="19"/>
      <c r="D193" s="100"/>
      <c r="F193" s="28"/>
      <c r="G193" s="90"/>
      <c r="H193" s="42"/>
      <c r="I193" s="22"/>
      <c r="K193" s="43"/>
    </row>
    <row r="194" ht="22.5" customHeight="1">
      <c r="B194" s="19"/>
      <c r="C194" s="19"/>
      <c r="D194" s="100"/>
      <c r="F194" s="28"/>
      <c r="G194" s="90"/>
      <c r="H194" s="42"/>
      <c r="I194" s="22"/>
      <c r="K194" s="43"/>
    </row>
    <row r="195" ht="22.5" customHeight="1">
      <c r="B195" s="19"/>
      <c r="C195" s="19"/>
      <c r="D195" s="100"/>
      <c r="F195" s="28"/>
      <c r="G195" s="90"/>
      <c r="H195" s="42"/>
      <c r="I195" s="22"/>
      <c r="K195" s="43"/>
    </row>
    <row r="196" ht="22.5" customHeight="1">
      <c r="B196" s="19"/>
      <c r="C196" s="19"/>
      <c r="D196" s="100"/>
      <c r="F196" s="28"/>
      <c r="G196" s="90"/>
      <c r="H196" s="42"/>
      <c r="I196" s="22"/>
      <c r="K196" s="43"/>
    </row>
    <row r="197" ht="22.5" customHeight="1">
      <c r="B197" s="19"/>
      <c r="C197" s="19"/>
      <c r="D197" s="100"/>
      <c r="F197" s="28"/>
      <c r="G197" s="90"/>
      <c r="H197" s="42"/>
      <c r="I197" s="22"/>
      <c r="K197" s="43"/>
    </row>
    <row r="198" ht="22.5" customHeight="1">
      <c r="B198" s="19"/>
      <c r="C198" s="19"/>
      <c r="D198" s="100"/>
      <c r="F198" s="28"/>
      <c r="G198" s="90"/>
      <c r="H198" s="42"/>
      <c r="I198" s="22"/>
      <c r="K198" s="43"/>
    </row>
    <row r="199" ht="22.5" customHeight="1">
      <c r="B199" s="19"/>
      <c r="C199" s="19"/>
      <c r="D199" s="100"/>
      <c r="F199" s="28"/>
      <c r="G199" s="90"/>
      <c r="H199" s="42"/>
      <c r="I199" s="22"/>
      <c r="K199" s="43"/>
    </row>
    <row r="200" ht="22.5" customHeight="1">
      <c r="B200" s="19"/>
      <c r="C200" s="19"/>
      <c r="D200" s="100"/>
      <c r="F200" s="28"/>
      <c r="G200" s="90"/>
      <c r="H200" s="42"/>
      <c r="I200" s="22"/>
      <c r="K200" s="43"/>
    </row>
    <row r="201" ht="22.5" customHeight="1">
      <c r="B201" s="19"/>
      <c r="C201" s="19"/>
      <c r="D201" s="100"/>
      <c r="F201" s="28"/>
      <c r="G201" s="90"/>
      <c r="H201" s="42"/>
      <c r="I201" s="22"/>
      <c r="K201" s="43"/>
    </row>
    <row r="202" ht="22.5" customHeight="1">
      <c r="B202" s="19"/>
      <c r="C202" s="19"/>
      <c r="D202" s="100"/>
      <c r="F202" s="28"/>
      <c r="G202" s="90"/>
      <c r="H202" s="42"/>
      <c r="I202" s="22"/>
      <c r="K202" s="43"/>
    </row>
    <row r="203" ht="22.5" customHeight="1">
      <c r="B203" s="19"/>
      <c r="C203" s="19"/>
      <c r="D203" s="100"/>
      <c r="F203" s="28"/>
      <c r="G203" s="90"/>
      <c r="H203" s="42"/>
      <c r="I203" s="22"/>
      <c r="K203" s="43"/>
    </row>
    <row r="204" ht="22.5" customHeight="1">
      <c r="B204" s="19"/>
      <c r="C204" s="19"/>
      <c r="D204" s="100"/>
      <c r="F204" s="28"/>
      <c r="G204" s="90"/>
      <c r="H204" s="42"/>
      <c r="I204" s="22"/>
      <c r="K204" s="43"/>
    </row>
    <row r="205" ht="22.5" customHeight="1">
      <c r="B205" s="19"/>
      <c r="C205" s="19"/>
      <c r="D205" s="100"/>
      <c r="F205" s="28"/>
      <c r="G205" s="90"/>
      <c r="H205" s="42"/>
      <c r="I205" s="22"/>
      <c r="K205" s="43"/>
    </row>
    <row r="206" ht="22.5" customHeight="1">
      <c r="B206" s="19"/>
      <c r="C206" s="19"/>
      <c r="D206" s="100"/>
      <c r="F206" s="28"/>
      <c r="G206" s="90"/>
      <c r="H206" s="42"/>
      <c r="I206" s="22"/>
      <c r="K206" s="43"/>
    </row>
    <row r="207" ht="22.5" customHeight="1">
      <c r="B207" s="19"/>
      <c r="C207" s="19"/>
      <c r="D207" s="100"/>
      <c r="F207" s="28"/>
      <c r="G207" s="90"/>
      <c r="H207" s="42"/>
      <c r="I207" s="22"/>
      <c r="K207" s="43"/>
    </row>
    <row r="208" ht="22.5" customHeight="1">
      <c r="B208" s="19"/>
      <c r="C208" s="19"/>
      <c r="D208" s="100"/>
      <c r="F208" s="28"/>
      <c r="G208" s="90"/>
      <c r="H208" s="42"/>
      <c r="I208" s="22"/>
      <c r="K208" s="43"/>
    </row>
    <row r="209" ht="22.5" customHeight="1">
      <c r="B209" s="19"/>
      <c r="C209" s="19"/>
      <c r="D209" s="100"/>
      <c r="F209" s="28"/>
      <c r="G209" s="90"/>
      <c r="H209" s="42"/>
      <c r="I209" s="22"/>
      <c r="K209" s="43"/>
    </row>
    <row r="210" ht="22.5" customHeight="1">
      <c r="B210" s="19"/>
      <c r="C210" s="19"/>
      <c r="D210" s="100"/>
      <c r="F210" s="28"/>
      <c r="G210" s="90"/>
      <c r="H210" s="42"/>
      <c r="I210" s="22"/>
      <c r="K210" s="43"/>
    </row>
    <row r="211" ht="22.5" customHeight="1">
      <c r="B211" s="19"/>
      <c r="C211" s="19"/>
      <c r="D211" s="100"/>
      <c r="F211" s="28"/>
      <c r="G211" s="90"/>
      <c r="H211" s="42"/>
      <c r="I211" s="22"/>
      <c r="K211" s="43"/>
    </row>
    <row r="212" ht="22.5" customHeight="1">
      <c r="B212" s="19"/>
      <c r="C212" s="19"/>
      <c r="D212" s="100"/>
      <c r="F212" s="28"/>
      <c r="G212" s="90"/>
      <c r="H212" s="42"/>
      <c r="I212" s="22"/>
      <c r="K212" s="43"/>
    </row>
    <row r="213" ht="22.5" customHeight="1">
      <c r="B213" s="19"/>
      <c r="C213" s="19"/>
      <c r="D213" s="100"/>
      <c r="F213" s="28"/>
      <c r="G213" s="90"/>
      <c r="H213" s="42"/>
      <c r="I213" s="22"/>
      <c r="K213" s="43"/>
    </row>
    <row r="214" ht="22.5" customHeight="1">
      <c r="B214" s="19"/>
      <c r="C214" s="19"/>
      <c r="D214" s="100"/>
      <c r="F214" s="28"/>
      <c r="G214" s="90"/>
      <c r="H214" s="42"/>
      <c r="I214" s="22"/>
      <c r="K214" s="43"/>
    </row>
    <row r="215" ht="22.5" customHeight="1">
      <c r="B215" s="19"/>
      <c r="C215" s="19"/>
      <c r="D215" s="100"/>
      <c r="F215" s="28"/>
      <c r="G215" s="90"/>
      <c r="H215" s="42"/>
      <c r="I215" s="22"/>
      <c r="K215" s="43"/>
    </row>
    <row r="216" ht="22.5" customHeight="1">
      <c r="B216" s="19"/>
      <c r="C216" s="19"/>
      <c r="D216" s="100"/>
      <c r="F216" s="28"/>
      <c r="G216" s="90"/>
      <c r="H216" s="42"/>
      <c r="I216" s="22"/>
      <c r="K216" s="43"/>
    </row>
    <row r="217" ht="22.5" customHeight="1">
      <c r="B217" s="19"/>
      <c r="C217" s="19"/>
      <c r="D217" s="100"/>
      <c r="F217" s="28"/>
      <c r="G217" s="90"/>
      <c r="H217" s="42"/>
      <c r="I217" s="22"/>
      <c r="K217" s="43"/>
    </row>
    <row r="218" ht="22.5" customHeight="1">
      <c r="B218" s="19"/>
      <c r="C218" s="19"/>
      <c r="D218" s="100"/>
      <c r="F218" s="28"/>
      <c r="G218" s="90"/>
      <c r="H218" s="42"/>
      <c r="I218" s="22"/>
      <c r="K218" s="43"/>
    </row>
    <row r="219" ht="22.5" customHeight="1">
      <c r="B219" s="19"/>
      <c r="C219" s="19"/>
      <c r="D219" s="100"/>
      <c r="F219" s="28"/>
      <c r="G219" s="90"/>
      <c r="H219" s="42"/>
      <c r="I219" s="22"/>
      <c r="K219" s="43"/>
    </row>
    <row r="220" ht="22.5" customHeight="1">
      <c r="B220" s="19"/>
      <c r="C220" s="19"/>
      <c r="D220" s="100"/>
      <c r="F220" s="28"/>
      <c r="G220" s="90"/>
      <c r="H220" s="42"/>
      <c r="I220" s="22"/>
      <c r="K220" s="43"/>
    </row>
    <row r="221" ht="22.5" customHeight="1">
      <c r="B221" s="19"/>
      <c r="C221" s="19"/>
      <c r="D221" s="100"/>
      <c r="F221" s="28"/>
      <c r="G221" s="90"/>
      <c r="H221" s="42"/>
      <c r="I221" s="22"/>
      <c r="K221" s="43"/>
    </row>
    <row r="222" ht="22.5" customHeight="1">
      <c r="B222" s="19"/>
      <c r="C222" s="19"/>
      <c r="D222" s="100"/>
      <c r="F222" s="28"/>
      <c r="G222" s="90"/>
      <c r="H222" s="42"/>
      <c r="I222" s="22"/>
      <c r="K222" s="43"/>
    </row>
    <row r="223" ht="22.5" customHeight="1">
      <c r="B223" s="19"/>
      <c r="C223" s="19"/>
      <c r="D223" s="100"/>
      <c r="F223" s="28"/>
      <c r="G223" s="90"/>
      <c r="H223" s="42"/>
      <c r="I223" s="22"/>
      <c r="K223" s="43"/>
    </row>
    <row r="224" ht="22.5" customHeight="1">
      <c r="B224" s="19"/>
      <c r="C224" s="19"/>
      <c r="D224" s="100"/>
      <c r="F224" s="28"/>
      <c r="G224" s="90"/>
      <c r="H224" s="42"/>
      <c r="I224" s="22"/>
      <c r="K224" s="43"/>
    </row>
    <row r="225" ht="22.5" customHeight="1">
      <c r="B225" s="19"/>
      <c r="C225" s="19"/>
      <c r="D225" s="100"/>
      <c r="F225" s="28"/>
      <c r="G225" s="90"/>
      <c r="H225" s="42"/>
      <c r="I225" s="22"/>
      <c r="K225" s="43"/>
    </row>
    <row r="226" ht="22.5" customHeight="1">
      <c r="B226" s="19"/>
      <c r="C226" s="19"/>
      <c r="D226" s="100"/>
      <c r="F226" s="28"/>
      <c r="G226" s="90"/>
      <c r="H226" s="42"/>
      <c r="I226" s="22"/>
      <c r="K226" s="43"/>
    </row>
    <row r="227" ht="22.5" customHeight="1">
      <c r="B227" s="19"/>
      <c r="C227" s="19"/>
      <c r="D227" s="100"/>
      <c r="F227" s="28"/>
      <c r="G227" s="90"/>
      <c r="H227" s="42"/>
      <c r="I227" s="22"/>
      <c r="K227" s="43"/>
    </row>
    <row r="228" ht="22.5" customHeight="1">
      <c r="B228" s="19"/>
      <c r="C228" s="19"/>
      <c r="D228" s="100"/>
      <c r="F228" s="28"/>
      <c r="G228" s="90"/>
      <c r="H228" s="42"/>
      <c r="I228" s="22"/>
      <c r="K228" s="43"/>
    </row>
    <row r="229" ht="22.5" customHeight="1">
      <c r="B229" s="19"/>
      <c r="C229" s="19"/>
      <c r="D229" s="100"/>
      <c r="F229" s="28"/>
      <c r="G229" s="90"/>
      <c r="H229" s="42"/>
      <c r="I229" s="22"/>
      <c r="K229" s="43"/>
    </row>
    <row r="230" ht="22.5" customHeight="1">
      <c r="B230" s="19"/>
      <c r="C230" s="19"/>
      <c r="D230" s="100"/>
      <c r="F230" s="28"/>
      <c r="G230" s="90"/>
      <c r="H230" s="42"/>
      <c r="I230" s="22"/>
      <c r="K230" s="43"/>
    </row>
    <row r="231" ht="22.5" customHeight="1">
      <c r="B231" s="19"/>
      <c r="C231" s="19"/>
      <c r="D231" s="100"/>
      <c r="F231" s="28"/>
      <c r="G231" s="90"/>
      <c r="H231" s="42"/>
      <c r="I231" s="22"/>
      <c r="K231" s="43"/>
    </row>
    <row r="232" ht="22.5" customHeight="1">
      <c r="B232" s="19"/>
      <c r="C232" s="19"/>
      <c r="D232" s="100"/>
      <c r="F232" s="28"/>
      <c r="G232" s="90"/>
      <c r="H232" s="42"/>
      <c r="I232" s="22"/>
      <c r="K232" s="43"/>
    </row>
    <row r="233" ht="22.5" customHeight="1">
      <c r="B233" s="19"/>
      <c r="C233" s="19"/>
      <c r="D233" s="100"/>
      <c r="F233" s="28"/>
      <c r="G233" s="90"/>
      <c r="H233" s="42"/>
      <c r="I233" s="22"/>
      <c r="K233" s="43"/>
    </row>
    <row r="234" ht="22.5" customHeight="1">
      <c r="B234" s="19"/>
      <c r="C234" s="19"/>
      <c r="D234" s="100"/>
      <c r="F234" s="28"/>
      <c r="G234" s="90"/>
      <c r="H234" s="42"/>
      <c r="I234" s="22"/>
      <c r="K234" s="43"/>
    </row>
    <row r="235" ht="22.5" customHeight="1">
      <c r="B235" s="19"/>
      <c r="C235" s="19"/>
      <c r="D235" s="100"/>
      <c r="F235" s="28"/>
      <c r="G235" s="90"/>
      <c r="H235" s="42"/>
      <c r="I235" s="22"/>
      <c r="K235" s="43"/>
    </row>
    <row r="236" ht="22.5" customHeight="1">
      <c r="B236" s="19"/>
      <c r="C236" s="19"/>
      <c r="D236" s="100"/>
      <c r="F236" s="28"/>
      <c r="G236" s="90"/>
      <c r="H236" s="42"/>
      <c r="I236" s="22"/>
      <c r="K236" s="43"/>
    </row>
    <row r="237" ht="22.5" customHeight="1">
      <c r="B237" s="19"/>
      <c r="C237" s="19"/>
      <c r="D237" s="100"/>
      <c r="F237" s="28"/>
      <c r="G237" s="90"/>
      <c r="H237" s="42"/>
      <c r="I237" s="22"/>
      <c r="K237" s="43"/>
    </row>
    <row r="238" ht="22.5" customHeight="1">
      <c r="B238" s="19"/>
      <c r="C238" s="19"/>
      <c r="D238" s="100"/>
      <c r="F238" s="28"/>
      <c r="G238" s="90"/>
      <c r="H238" s="42"/>
      <c r="I238" s="22"/>
      <c r="K238" s="43"/>
    </row>
    <row r="239" ht="22.5" customHeight="1">
      <c r="B239" s="19"/>
      <c r="C239" s="19"/>
      <c r="D239" s="100"/>
      <c r="F239" s="28"/>
      <c r="G239" s="90"/>
      <c r="H239" s="42"/>
      <c r="I239" s="22"/>
      <c r="K239" s="43"/>
    </row>
    <row r="240" ht="22.5" customHeight="1">
      <c r="B240" s="19"/>
      <c r="C240" s="19"/>
      <c r="D240" s="100"/>
      <c r="F240" s="28"/>
      <c r="G240" s="90"/>
      <c r="H240" s="42"/>
      <c r="I240" s="22"/>
      <c r="K240" s="43"/>
    </row>
    <row r="241" ht="22.5" customHeight="1">
      <c r="B241" s="19"/>
      <c r="C241" s="19"/>
      <c r="D241" s="100"/>
      <c r="F241" s="28"/>
      <c r="G241" s="90"/>
      <c r="H241" s="42"/>
      <c r="I241" s="22"/>
      <c r="K241" s="43"/>
    </row>
    <row r="242" ht="22.5" customHeight="1">
      <c r="B242" s="19"/>
      <c r="C242" s="19"/>
      <c r="D242" s="100"/>
      <c r="F242" s="28"/>
      <c r="G242" s="90"/>
      <c r="H242" s="42"/>
      <c r="I242" s="22"/>
      <c r="K242" s="43"/>
    </row>
    <row r="243" ht="22.5" customHeight="1">
      <c r="B243" s="19"/>
      <c r="C243" s="19"/>
      <c r="D243" s="100"/>
      <c r="F243" s="28"/>
      <c r="G243" s="90"/>
      <c r="H243" s="42"/>
      <c r="I243" s="22"/>
      <c r="K243" s="43"/>
    </row>
    <row r="244" ht="22.5" customHeight="1">
      <c r="B244" s="19"/>
      <c r="C244" s="19"/>
      <c r="D244" s="100"/>
      <c r="F244" s="28"/>
      <c r="G244" s="90"/>
      <c r="H244" s="42"/>
      <c r="I244" s="22"/>
      <c r="K244" s="43"/>
    </row>
    <row r="245" ht="22.5" customHeight="1">
      <c r="B245" s="19"/>
      <c r="C245" s="19"/>
      <c r="D245" s="100"/>
      <c r="F245" s="28"/>
      <c r="G245" s="90"/>
      <c r="H245" s="42"/>
      <c r="I245" s="22"/>
      <c r="K245" s="43"/>
    </row>
    <row r="246" ht="22.5" customHeight="1">
      <c r="B246" s="19"/>
      <c r="C246" s="19"/>
      <c r="D246" s="100"/>
      <c r="F246" s="28"/>
      <c r="G246" s="90"/>
      <c r="H246" s="42"/>
      <c r="I246" s="22"/>
      <c r="K246" s="43"/>
    </row>
    <row r="247" ht="22.5" customHeight="1">
      <c r="B247" s="19"/>
      <c r="C247" s="19"/>
      <c r="D247" s="100"/>
      <c r="F247" s="28"/>
      <c r="G247" s="90"/>
      <c r="H247" s="42"/>
      <c r="I247" s="22"/>
      <c r="K247" s="43"/>
    </row>
    <row r="248" ht="22.5" customHeight="1">
      <c r="B248" s="19"/>
      <c r="C248" s="19"/>
      <c r="D248" s="100"/>
      <c r="F248" s="28"/>
      <c r="G248" s="90"/>
      <c r="H248" s="42"/>
      <c r="I248" s="22"/>
      <c r="K248" s="43"/>
    </row>
    <row r="249" ht="22.5" customHeight="1">
      <c r="B249" s="19"/>
      <c r="C249" s="19"/>
      <c r="D249" s="100"/>
      <c r="F249" s="28"/>
      <c r="G249" s="90"/>
      <c r="H249" s="42"/>
      <c r="I249" s="22"/>
      <c r="K249" s="43"/>
    </row>
    <row r="250" ht="22.5" customHeight="1">
      <c r="B250" s="19"/>
      <c r="C250" s="19"/>
      <c r="D250" s="100"/>
      <c r="F250" s="28"/>
      <c r="G250" s="90"/>
      <c r="H250" s="42"/>
      <c r="I250" s="22"/>
      <c r="K250" s="43"/>
    </row>
    <row r="251" ht="22.5" customHeight="1">
      <c r="B251" s="19"/>
      <c r="C251" s="19"/>
      <c r="D251" s="100"/>
      <c r="F251" s="28"/>
      <c r="G251" s="90"/>
      <c r="H251" s="42"/>
      <c r="I251" s="22"/>
      <c r="K251" s="43"/>
    </row>
    <row r="252" ht="22.5" customHeight="1">
      <c r="B252" s="19"/>
      <c r="C252" s="19"/>
      <c r="D252" s="100"/>
      <c r="F252" s="28"/>
      <c r="G252" s="90"/>
      <c r="H252" s="42"/>
      <c r="I252" s="22"/>
      <c r="K252" s="43"/>
    </row>
    <row r="253" ht="22.5" customHeight="1">
      <c r="B253" s="19"/>
      <c r="C253" s="19"/>
      <c r="D253" s="100"/>
      <c r="F253" s="28"/>
      <c r="G253" s="90"/>
      <c r="H253" s="42"/>
      <c r="I253" s="22"/>
      <c r="K253" s="43"/>
    </row>
    <row r="254" ht="22.5" customHeight="1">
      <c r="B254" s="19"/>
      <c r="C254" s="19"/>
      <c r="D254" s="100"/>
      <c r="F254" s="28"/>
      <c r="G254" s="90"/>
      <c r="H254" s="42"/>
      <c r="I254" s="22"/>
      <c r="K254" s="43"/>
    </row>
    <row r="255" ht="22.5" customHeight="1">
      <c r="B255" s="19"/>
      <c r="C255" s="19"/>
      <c r="D255" s="100"/>
      <c r="F255" s="28"/>
      <c r="G255" s="90"/>
      <c r="H255" s="42"/>
      <c r="I255" s="22"/>
      <c r="K255" s="43"/>
    </row>
    <row r="256" ht="22.5" customHeight="1">
      <c r="B256" s="19"/>
      <c r="C256" s="19"/>
      <c r="D256" s="100"/>
      <c r="F256" s="28"/>
      <c r="G256" s="90"/>
      <c r="H256" s="42"/>
      <c r="I256" s="22"/>
      <c r="K256" s="43"/>
    </row>
    <row r="257" ht="22.5" customHeight="1">
      <c r="B257" s="19"/>
      <c r="C257" s="19"/>
      <c r="D257" s="100"/>
      <c r="F257" s="28"/>
      <c r="G257" s="90"/>
      <c r="H257" s="42"/>
      <c r="I257" s="22"/>
      <c r="K257" s="43"/>
    </row>
    <row r="258" ht="22.5" customHeight="1">
      <c r="B258" s="19"/>
      <c r="C258" s="19"/>
      <c r="D258" s="100"/>
      <c r="F258" s="28"/>
      <c r="G258" s="90"/>
      <c r="H258" s="42"/>
      <c r="I258" s="22"/>
      <c r="K258" s="43"/>
    </row>
    <row r="259" ht="22.5" customHeight="1">
      <c r="B259" s="19"/>
      <c r="C259" s="19"/>
      <c r="D259" s="100"/>
      <c r="F259" s="28"/>
      <c r="G259" s="90"/>
      <c r="H259" s="42"/>
      <c r="I259" s="22"/>
      <c r="K259" s="43"/>
    </row>
    <row r="260" ht="22.5" customHeight="1">
      <c r="B260" s="19"/>
      <c r="C260" s="19"/>
      <c r="D260" s="100"/>
      <c r="F260" s="28"/>
      <c r="G260" s="90"/>
      <c r="H260" s="42"/>
      <c r="I260" s="22"/>
      <c r="K260" s="43"/>
    </row>
    <row r="261" ht="22.5" customHeight="1">
      <c r="B261" s="19"/>
      <c r="C261" s="19"/>
      <c r="D261" s="100"/>
      <c r="F261" s="28"/>
      <c r="G261" s="90"/>
      <c r="H261" s="42"/>
      <c r="I261" s="22"/>
      <c r="K261" s="43"/>
    </row>
    <row r="262" ht="22.5" customHeight="1">
      <c r="B262" s="19"/>
      <c r="C262" s="19"/>
      <c r="D262" s="100"/>
      <c r="F262" s="28"/>
      <c r="G262" s="90"/>
      <c r="H262" s="42"/>
      <c r="I262" s="22"/>
      <c r="K262" s="43"/>
    </row>
    <row r="263" ht="22.5" customHeight="1">
      <c r="B263" s="19"/>
      <c r="C263" s="19"/>
      <c r="D263" s="100"/>
      <c r="F263" s="28"/>
      <c r="G263" s="90"/>
      <c r="H263" s="42"/>
      <c r="I263" s="22"/>
      <c r="K263" s="43"/>
    </row>
    <row r="264" ht="22.5" customHeight="1">
      <c r="B264" s="19"/>
      <c r="C264" s="19"/>
      <c r="D264" s="100"/>
      <c r="F264" s="28"/>
      <c r="G264" s="90"/>
      <c r="H264" s="42"/>
      <c r="I264" s="22"/>
      <c r="K264" s="43"/>
    </row>
    <row r="265" ht="22.5" customHeight="1">
      <c r="B265" s="19"/>
      <c r="C265" s="19"/>
      <c r="D265" s="100"/>
      <c r="F265" s="28"/>
      <c r="G265" s="90"/>
      <c r="H265" s="42"/>
      <c r="I265" s="22"/>
      <c r="K265" s="43"/>
    </row>
    <row r="266" ht="22.5" customHeight="1">
      <c r="B266" s="19"/>
      <c r="C266" s="19"/>
      <c r="D266" s="100"/>
      <c r="F266" s="28"/>
      <c r="G266" s="90"/>
      <c r="H266" s="42"/>
      <c r="I266" s="22"/>
      <c r="K266" s="43"/>
    </row>
    <row r="267" ht="22.5" customHeight="1">
      <c r="B267" s="19"/>
      <c r="C267" s="19"/>
      <c r="D267" s="100"/>
      <c r="F267" s="28"/>
      <c r="G267" s="90"/>
      <c r="H267" s="42"/>
      <c r="I267" s="22"/>
      <c r="K267" s="43"/>
    </row>
    <row r="268" ht="22.5" customHeight="1">
      <c r="B268" s="19"/>
      <c r="C268" s="19"/>
      <c r="D268" s="100"/>
      <c r="F268" s="28"/>
      <c r="G268" s="90"/>
      <c r="H268" s="42"/>
      <c r="I268" s="22"/>
      <c r="K268" s="43"/>
    </row>
    <row r="269" ht="22.5" customHeight="1">
      <c r="B269" s="19"/>
      <c r="C269" s="19"/>
      <c r="D269" s="100"/>
      <c r="F269" s="28"/>
      <c r="G269" s="90"/>
      <c r="H269" s="42"/>
      <c r="I269" s="22"/>
      <c r="K269" s="43"/>
    </row>
    <row r="270" ht="22.5" customHeight="1">
      <c r="B270" s="19"/>
      <c r="C270" s="19"/>
      <c r="D270" s="100"/>
      <c r="F270" s="28"/>
      <c r="G270" s="90"/>
      <c r="H270" s="42"/>
      <c r="I270" s="22"/>
      <c r="K270" s="43"/>
    </row>
    <row r="271" ht="22.5" customHeight="1">
      <c r="B271" s="19"/>
      <c r="C271" s="19"/>
      <c r="D271" s="100"/>
      <c r="F271" s="28"/>
      <c r="G271" s="90"/>
      <c r="H271" s="42"/>
      <c r="I271" s="22"/>
      <c r="K271" s="43"/>
    </row>
    <row r="272" ht="22.5" customHeight="1">
      <c r="B272" s="19"/>
      <c r="C272" s="19"/>
      <c r="D272" s="100"/>
      <c r="F272" s="28"/>
      <c r="G272" s="90"/>
      <c r="H272" s="42"/>
      <c r="I272" s="22"/>
      <c r="K272" s="43"/>
    </row>
    <row r="273" ht="22.5" customHeight="1">
      <c r="B273" s="19"/>
      <c r="C273" s="19"/>
      <c r="D273" s="100"/>
      <c r="F273" s="28"/>
      <c r="G273" s="90"/>
      <c r="H273" s="42"/>
      <c r="I273" s="22"/>
      <c r="K273" s="43"/>
    </row>
    <row r="274" ht="22.5" customHeight="1">
      <c r="B274" s="19"/>
      <c r="C274" s="19"/>
      <c r="D274" s="100"/>
      <c r="F274" s="28"/>
      <c r="G274" s="90"/>
      <c r="H274" s="42"/>
      <c r="I274" s="22"/>
      <c r="K274" s="43"/>
    </row>
    <row r="275" ht="22.5" customHeight="1">
      <c r="B275" s="19"/>
      <c r="C275" s="19"/>
      <c r="D275" s="100"/>
      <c r="F275" s="28"/>
      <c r="G275" s="90"/>
      <c r="H275" s="42"/>
      <c r="I275" s="22"/>
      <c r="K275" s="43"/>
    </row>
    <row r="276" ht="22.5" customHeight="1">
      <c r="B276" s="19"/>
      <c r="C276" s="19"/>
      <c r="D276" s="100"/>
      <c r="F276" s="28"/>
      <c r="G276" s="90"/>
      <c r="H276" s="42"/>
      <c r="I276" s="22"/>
      <c r="K276" s="43"/>
    </row>
    <row r="277" ht="22.5" customHeight="1">
      <c r="B277" s="19"/>
      <c r="C277" s="19"/>
      <c r="D277" s="100"/>
      <c r="F277" s="28"/>
      <c r="G277" s="90"/>
      <c r="H277" s="42"/>
      <c r="I277" s="22"/>
      <c r="K277" s="43"/>
    </row>
    <row r="278" ht="22.5" customHeight="1">
      <c r="B278" s="19"/>
      <c r="C278" s="19"/>
      <c r="D278" s="100"/>
      <c r="F278" s="28"/>
      <c r="G278" s="90"/>
      <c r="H278" s="42"/>
      <c r="I278" s="22"/>
      <c r="K278" s="43"/>
    </row>
    <row r="279" ht="22.5" customHeight="1">
      <c r="B279" s="19"/>
      <c r="C279" s="19"/>
      <c r="D279" s="100"/>
      <c r="F279" s="28"/>
      <c r="G279" s="90"/>
      <c r="H279" s="42"/>
      <c r="I279" s="22"/>
      <c r="K279" s="43"/>
    </row>
    <row r="280" ht="22.5" customHeight="1">
      <c r="B280" s="19"/>
      <c r="C280" s="19"/>
      <c r="D280" s="100"/>
      <c r="F280" s="28"/>
      <c r="G280" s="90"/>
      <c r="H280" s="42"/>
      <c r="I280" s="22"/>
      <c r="K280" s="43"/>
    </row>
    <row r="281" ht="22.5" customHeight="1">
      <c r="B281" s="19"/>
      <c r="C281" s="19"/>
      <c r="D281" s="100"/>
      <c r="F281" s="28"/>
      <c r="G281" s="90"/>
      <c r="H281" s="42"/>
      <c r="I281" s="22"/>
      <c r="K281" s="43"/>
    </row>
    <row r="282" ht="22.5" customHeight="1">
      <c r="B282" s="19"/>
      <c r="C282" s="19"/>
      <c r="D282" s="100"/>
      <c r="F282" s="28"/>
      <c r="G282" s="90"/>
      <c r="H282" s="42"/>
      <c r="I282" s="22"/>
      <c r="K282" s="43"/>
    </row>
    <row r="283" ht="22.5" customHeight="1">
      <c r="B283" s="19"/>
      <c r="C283" s="19"/>
      <c r="D283" s="100"/>
      <c r="F283" s="28"/>
      <c r="G283" s="90"/>
      <c r="H283" s="42"/>
      <c r="I283" s="22"/>
      <c r="K283" s="43"/>
    </row>
    <row r="284" ht="22.5" customHeight="1">
      <c r="B284" s="19"/>
      <c r="C284" s="19"/>
      <c r="D284" s="100"/>
      <c r="F284" s="28"/>
      <c r="G284" s="90"/>
      <c r="H284" s="42"/>
      <c r="I284" s="22"/>
      <c r="K284" s="43"/>
    </row>
    <row r="285" ht="22.5" customHeight="1">
      <c r="B285" s="19"/>
      <c r="C285" s="19"/>
      <c r="D285" s="100"/>
      <c r="F285" s="28"/>
      <c r="G285" s="90"/>
      <c r="H285" s="42"/>
      <c r="I285" s="22"/>
      <c r="K285" s="43"/>
    </row>
    <row r="286" ht="22.5" customHeight="1">
      <c r="B286" s="19"/>
      <c r="C286" s="19"/>
      <c r="D286" s="100"/>
      <c r="F286" s="28"/>
      <c r="G286" s="90"/>
      <c r="H286" s="42"/>
      <c r="I286" s="22"/>
      <c r="K286" s="43"/>
    </row>
    <row r="287" ht="22.5" customHeight="1">
      <c r="B287" s="19"/>
      <c r="C287" s="19"/>
      <c r="D287" s="100"/>
      <c r="F287" s="28"/>
      <c r="G287" s="90"/>
      <c r="H287" s="42"/>
      <c r="I287" s="22"/>
      <c r="K287" s="43"/>
    </row>
    <row r="288" ht="22.5" customHeight="1">
      <c r="B288" s="19"/>
      <c r="C288" s="19"/>
      <c r="D288" s="100"/>
      <c r="F288" s="28"/>
      <c r="G288" s="90"/>
      <c r="H288" s="42"/>
      <c r="I288" s="22"/>
      <c r="K288" s="43"/>
    </row>
    <row r="289" ht="22.5" customHeight="1">
      <c r="B289" s="19"/>
      <c r="C289" s="19"/>
      <c r="D289" s="100"/>
      <c r="F289" s="28"/>
      <c r="G289" s="90"/>
      <c r="H289" s="42"/>
      <c r="I289" s="22"/>
      <c r="K289" s="43"/>
    </row>
    <row r="290" ht="22.5" customHeight="1">
      <c r="B290" s="19"/>
      <c r="C290" s="19"/>
      <c r="D290" s="100"/>
      <c r="F290" s="28"/>
      <c r="G290" s="90"/>
      <c r="H290" s="42"/>
      <c r="I290" s="22"/>
      <c r="K290" s="43"/>
    </row>
    <row r="291" ht="22.5" customHeight="1">
      <c r="B291" s="19"/>
      <c r="C291" s="19"/>
      <c r="D291" s="100"/>
      <c r="F291" s="28"/>
      <c r="G291" s="90"/>
      <c r="H291" s="42"/>
      <c r="I291" s="22"/>
      <c r="K291" s="43"/>
    </row>
    <row r="292" ht="22.5" customHeight="1">
      <c r="B292" s="19"/>
      <c r="C292" s="19"/>
      <c r="D292" s="100"/>
      <c r="F292" s="28"/>
      <c r="G292" s="90"/>
      <c r="H292" s="42"/>
      <c r="I292" s="22"/>
      <c r="K292" s="43"/>
    </row>
    <row r="293" ht="22.5" customHeight="1">
      <c r="B293" s="19"/>
      <c r="C293" s="19"/>
      <c r="D293" s="100"/>
      <c r="F293" s="28"/>
      <c r="G293" s="90"/>
      <c r="H293" s="42"/>
      <c r="I293" s="22"/>
      <c r="K293" s="43"/>
    </row>
    <row r="294" ht="22.5" customHeight="1">
      <c r="B294" s="19"/>
      <c r="C294" s="19"/>
      <c r="D294" s="100"/>
      <c r="F294" s="28"/>
      <c r="G294" s="90"/>
      <c r="H294" s="42"/>
      <c r="I294" s="22"/>
      <c r="K294" s="43"/>
    </row>
    <row r="295" ht="22.5" customHeight="1">
      <c r="B295" s="19"/>
      <c r="C295" s="19"/>
      <c r="D295" s="100"/>
      <c r="F295" s="28"/>
      <c r="G295" s="90"/>
      <c r="H295" s="42"/>
      <c r="I295" s="22"/>
      <c r="K295" s="43"/>
    </row>
    <row r="296" ht="22.5" customHeight="1">
      <c r="B296" s="19"/>
      <c r="C296" s="19"/>
      <c r="D296" s="100"/>
      <c r="F296" s="28"/>
      <c r="G296" s="90"/>
      <c r="H296" s="42"/>
      <c r="I296" s="22"/>
      <c r="K296" s="43"/>
    </row>
    <row r="297" ht="22.5" customHeight="1">
      <c r="B297" s="19"/>
      <c r="C297" s="19"/>
      <c r="D297" s="100"/>
      <c r="F297" s="28"/>
      <c r="G297" s="90"/>
      <c r="H297" s="42"/>
      <c r="I297" s="22"/>
      <c r="K297" s="43"/>
    </row>
    <row r="298" ht="22.5" customHeight="1">
      <c r="B298" s="19"/>
      <c r="C298" s="19"/>
      <c r="D298" s="100"/>
      <c r="F298" s="28"/>
      <c r="G298" s="90"/>
      <c r="H298" s="42"/>
      <c r="I298" s="22"/>
      <c r="K298" s="43"/>
    </row>
    <row r="299" ht="22.5" customHeight="1">
      <c r="B299" s="19"/>
      <c r="C299" s="19"/>
      <c r="D299" s="100"/>
      <c r="F299" s="28"/>
      <c r="G299" s="90"/>
      <c r="H299" s="42"/>
      <c r="I299" s="22"/>
      <c r="K299" s="43"/>
    </row>
    <row r="300" ht="22.5" customHeight="1">
      <c r="B300" s="19"/>
      <c r="C300" s="19"/>
      <c r="D300" s="100"/>
      <c r="F300" s="28"/>
      <c r="G300" s="90"/>
      <c r="H300" s="42"/>
      <c r="I300" s="22"/>
      <c r="K300" s="43"/>
    </row>
    <row r="301" ht="22.5" customHeight="1">
      <c r="B301" s="19"/>
      <c r="C301" s="19"/>
      <c r="D301" s="100"/>
      <c r="F301" s="28"/>
      <c r="G301" s="90"/>
      <c r="H301" s="42"/>
      <c r="I301" s="22"/>
      <c r="K301" s="43"/>
    </row>
    <row r="302" ht="22.5" customHeight="1">
      <c r="B302" s="19"/>
      <c r="C302" s="19"/>
      <c r="D302" s="100"/>
      <c r="F302" s="28"/>
      <c r="G302" s="90"/>
      <c r="H302" s="42"/>
      <c r="I302" s="22"/>
      <c r="K302" s="43"/>
    </row>
    <row r="303" ht="22.5" customHeight="1">
      <c r="B303" s="19"/>
      <c r="C303" s="19"/>
      <c r="D303" s="100"/>
      <c r="F303" s="28"/>
      <c r="G303" s="90"/>
      <c r="H303" s="42"/>
      <c r="I303" s="22"/>
      <c r="K303" s="43"/>
    </row>
    <row r="304" ht="22.5" customHeight="1">
      <c r="B304" s="19"/>
      <c r="C304" s="19"/>
      <c r="D304" s="100"/>
      <c r="F304" s="28"/>
      <c r="G304" s="90"/>
      <c r="H304" s="42"/>
      <c r="I304" s="22"/>
      <c r="K304" s="43"/>
    </row>
    <row r="305" ht="22.5" customHeight="1">
      <c r="B305" s="19"/>
      <c r="C305" s="19"/>
      <c r="D305" s="100"/>
      <c r="F305" s="28"/>
      <c r="G305" s="90"/>
      <c r="H305" s="42"/>
      <c r="I305" s="22"/>
      <c r="K305" s="43"/>
    </row>
    <row r="306" ht="22.5" customHeight="1">
      <c r="B306" s="19"/>
      <c r="C306" s="19"/>
      <c r="D306" s="100"/>
      <c r="F306" s="28"/>
      <c r="G306" s="90"/>
      <c r="H306" s="42"/>
      <c r="I306" s="22"/>
      <c r="K306" s="43"/>
    </row>
    <row r="307" ht="22.5" customHeight="1">
      <c r="B307" s="19"/>
      <c r="C307" s="19"/>
      <c r="D307" s="100"/>
      <c r="F307" s="28"/>
      <c r="G307" s="90"/>
      <c r="H307" s="42"/>
      <c r="I307" s="22"/>
      <c r="K307" s="43"/>
    </row>
    <row r="308" ht="22.5" customHeight="1">
      <c r="B308" s="19"/>
      <c r="C308" s="19"/>
      <c r="D308" s="100"/>
      <c r="F308" s="28"/>
      <c r="G308" s="90"/>
      <c r="H308" s="42"/>
      <c r="I308" s="22"/>
      <c r="K308" s="43"/>
    </row>
    <row r="309" ht="22.5" customHeight="1">
      <c r="B309" s="19"/>
      <c r="C309" s="19"/>
      <c r="D309" s="100"/>
      <c r="F309" s="28"/>
      <c r="G309" s="90"/>
      <c r="H309" s="42"/>
      <c r="I309" s="22"/>
      <c r="K309" s="43"/>
    </row>
    <row r="310" ht="22.5" customHeight="1">
      <c r="B310" s="19"/>
      <c r="C310" s="19"/>
      <c r="D310" s="100"/>
      <c r="F310" s="28"/>
      <c r="G310" s="90"/>
      <c r="H310" s="42"/>
      <c r="I310" s="22"/>
      <c r="K310" s="43"/>
    </row>
    <row r="311" ht="22.5" customHeight="1">
      <c r="B311" s="19"/>
      <c r="C311" s="19"/>
      <c r="D311" s="100"/>
      <c r="F311" s="28"/>
      <c r="G311" s="90"/>
      <c r="H311" s="42"/>
      <c r="I311" s="22"/>
      <c r="K311" s="43"/>
    </row>
    <row r="312" ht="22.5" customHeight="1">
      <c r="B312" s="19"/>
      <c r="C312" s="19"/>
      <c r="D312" s="100"/>
      <c r="F312" s="28"/>
      <c r="G312" s="90"/>
      <c r="H312" s="42"/>
      <c r="I312" s="22"/>
      <c r="K312" s="43"/>
    </row>
    <row r="313" ht="22.5" customHeight="1">
      <c r="B313" s="19"/>
      <c r="C313" s="19"/>
      <c r="D313" s="100"/>
      <c r="F313" s="28"/>
      <c r="G313" s="90"/>
      <c r="H313" s="42"/>
      <c r="I313" s="22"/>
      <c r="K313" s="43"/>
    </row>
    <row r="314" ht="22.5" customHeight="1">
      <c r="B314" s="19"/>
      <c r="C314" s="19"/>
      <c r="D314" s="100"/>
      <c r="F314" s="28"/>
      <c r="G314" s="90"/>
      <c r="H314" s="42"/>
      <c r="I314" s="22"/>
      <c r="K314" s="43"/>
    </row>
    <row r="315" ht="22.5" customHeight="1">
      <c r="B315" s="19"/>
      <c r="C315" s="19"/>
      <c r="D315" s="100"/>
      <c r="F315" s="28"/>
      <c r="G315" s="90"/>
      <c r="H315" s="42"/>
      <c r="I315" s="22"/>
      <c r="K315" s="43"/>
    </row>
    <row r="316" ht="22.5" customHeight="1">
      <c r="B316" s="19"/>
      <c r="C316" s="19"/>
      <c r="D316" s="100"/>
      <c r="F316" s="28"/>
      <c r="G316" s="90"/>
      <c r="H316" s="42"/>
      <c r="I316" s="22"/>
      <c r="K316" s="43"/>
    </row>
    <row r="317" ht="22.5" customHeight="1">
      <c r="B317" s="19"/>
      <c r="C317" s="19"/>
      <c r="D317" s="100"/>
      <c r="F317" s="28"/>
      <c r="G317" s="90"/>
      <c r="H317" s="42"/>
      <c r="I317" s="22"/>
      <c r="K317" s="43"/>
    </row>
    <row r="318" ht="22.5" customHeight="1">
      <c r="B318" s="19"/>
      <c r="C318" s="19"/>
      <c r="D318" s="100"/>
      <c r="F318" s="28"/>
      <c r="G318" s="90"/>
      <c r="H318" s="42"/>
      <c r="I318" s="22"/>
      <c r="K318" s="43"/>
    </row>
    <row r="319" ht="22.5" customHeight="1">
      <c r="B319" s="19"/>
      <c r="C319" s="19"/>
      <c r="D319" s="100"/>
      <c r="F319" s="28"/>
      <c r="G319" s="90"/>
      <c r="H319" s="42"/>
      <c r="I319" s="22"/>
      <c r="K319" s="43"/>
    </row>
    <row r="320" ht="22.5" customHeight="1">
      <c r="B320" s="19"/>
      <c r="C320" s="19"/>
      <c r="D320" s="100"/>
      <c r="F320" s="28"/>
      <c r="G320" s="90"/>
      <c r="H320" s="42"/>
      <c r="I320" s="22"/>
      <c r="K320" s="43"/>
    </row>
    <row r="321" ht="22.5" customHeight="1">
      <c r="B321" s="19"/>
      <c r="C321" s="19"/>
      <c r="D321" s="100"/>
      <c r="F321" s="28"/>
      <c r="G321" s="90"/>
      <c r="H321" s="42"/>
      <c r="I321" s="22"/>
      <c r="K321" s="43"/>
    </row>
    <row r="322" ht="22.5" customHeight="1">
      <c r="B322" s="19"/>
      <c r="C322" s="19"/>
      <c r="D322" s="100"/>
      <c r="F322" s="28"/>
      <c r="G322" s="90"/>
      <c r="H322" s="42"/>
      <c r="I322" s="22"/>
      <c r="K322" s="43"/>
    </row>
    <row r="323" ht="22.5" customHeight="1">
      <c r="B323" s="19"/>
      <c r="C323" s="19"/>
      <c r="D323" s="100"/>
      <c r="F323" s="28"/>
      <c r="G323" s="90"/>
      <c r="H323" s="42"/>
      <c r="I323" s="22"/>
      <c r="K323" s="43"/>
    </row>
    <row r="324" ht="22.5" customHeight="1">
      <c r="B324" s="19"/>
      <c r="C324" s="19"/>
      <c r="D324" s="100"/>
      <c r="F324" s="28"/>
      <c r="G324" s="90"/>
      <c r="H324" s="42"/>
      <c r="I324" s="22"/>
      <c r="K324" s="43"/>
    </row>
    <row r="325" ht="22.5" customHeight="1">
      <c r="B325" s="19"/>
      <c r="C325" s="19"/>
      <c r="D325" s="100"/>
      <c r="F325" s="28"/>
      <c r="G325" s="90"/>
      <c r="H325" s="42"/>
      <c r="I325" s="22"/>
      <c r="K325" s="43"/>
    </row>
    <row r="326" ht="22.5" customHeight="1">
      <c r="B326" s="19"/>
      <c r="C326" s="19"/>
      <c r="D326" s="100"/>
      <c r="F326" s="28"/>
      <c r="G326" s="90"/>
      <c r="H326" s="42"/>
      <c r="I326" s="22"/>
      <c r="K326" s="43"/>
    </row>
    <row r="327" ht="22.5" customHeight="1">
      <c r="B327" s="19"/>
      <c r="C327" s="19"/>
      <c r="D327" s="100"/>
      <c r="F327" s="28"/>
      <c r="G327" s="90"/>
      <c r="H327" s="42"/>
      <c r="I327" s="22"/>
      <c r="K327" s="43"/>
    </row>
    <row r="328" ht="22.5" customHeight="1">
      <c r="B328" s="19"/>
      <c r="C328" s="19"/>
      <c r="D328" s="100"/>
      <c r="F328" s="28"/>
      <c r="G328" s="90"/>
      <c r="H328" s="42"/>
      <c r="I328" s="22"/>
      <c r="K328" s="43"/>
    </row>
    <row r="329" ht="22.5" customHeight="1">
      <c r="B329" s="19"/>
      <c r="C329" s="19"/>
      <c r="D329" s="100"/>
      <c r="F329" s="28"/>
      <c r="G329" s="90"/>
      <c r="H329" s="42"/>
      <c r="I329" s="22"/>
      <c r="K329" s="43"/>
    </row>
    <row r="330" ht="22.5" customHeight="1">
      <c r="B330" s="19"/>
      <c r="C330" s="19"/>
      <c r="D330" s="100"/>
      <c r="F330" s="28"/>
      <c r="G330" s="90"/>
      <c r="H330" s="42"/>
      <c r="I330" s="22"/>
      <c r="K330" s="43"/>
    </row>
    <row r="331" ht="22.5" customHeight="1">
      <c r="B331" s="19"/>
      <c r="C331" s="19"/>
      <c r="D331" s="100"/>
      <c r="F331" s="28"/>
      <c r="G331" s="90"/>
      <c r="H331" s="42"/>
      <c r="I331" s="22"/>
      <c r="K331" s="43"/>
    </row>
    <row r="332" ht="22.5" customHeight="1">
      <c r="B332" s="19"/>
      <c r="C332" s="19"/>
      <c r="D332" s="100"/>
      <c r="F332" s="28"/>
      <c r="G332" s="90"/>
      <c r="H332" s="42"/>
      <c r="I332" s="22"/>
      <c r="K332" s="43"/>
    </row>
    <row r="333" ht="22.5" customHeight="1">
      <c r="B333" s="19"/>
      <c r="C333" s="19"/>
      <c r="D333" s="100"/>
      <c r="F333" s="28"/>
      <c r="G333" s="90"/>
      <c r="H333" s="42"/>
      <c r="I333" s="22"/>
      <c r="K333" s="43"/>
    </row>
    <row r="334" ht="22.5" customHeight="1">
      <c r="B334" s="19"/>
      <c r="C334" s="19"/>
      <c r="D334" s="100"/>
      <c r="F334" s="28"/>
      <c r="G334" s="90"/>
      <c r="H334" s="42"/>
      <c r="I334" s="22"/>
      <c r="K334" s="43"/>
    </row>
    <row r="335" ht="22.5" customHeight="1">
      <c r="B335" s="19"/>
      <c r="C335" s="19"/>
      <c r="D335" s="100"/>
      <c r="F335" s="28"/>
      <c r="G335" s="90"/>
      <c r="H335" s="42"/>
      <c r="I335" s="22"/>
      <c r="K335" s="43"/>
    </row>
    <row r="336" ht="22.5" customHeight="1">
      <c r="B336" s="19"/>
      <c r="C336" s="19"/>
      <c r="D336" s="100"/>
      <c r="F336" s="28"/>
      <c r="G336" s="90"/>
      <c r="H336" s="42"/>
      <c r="I336" s="22"/>
      <c r="K336" s="43"/>
    </row>
    <row r="337" ht="22.5" customHeight="1">
      <c r="B337" s="19"/>
      <c r="C337" s="19"/>
      <c r="D337" s="100"/>
      <c r="F337" s="28"/>
      <c r="G337" s="90"/>
      <c r="H337" s="42"/>
      <c r="I337" s="22"/>
      <c r="K337" s="43"/>
    </row>
    <row r="338" ht="22.5" customHeight="1">
      <c r="B338" s="19"/>
      <c r="C338" s="19"/>
      <c r="D338" s="100"/>
      <c r="F338" s="28"/>
      <c r="G338" s="90"/>
      <c r="H338" s="42"/>
      <c r="I338" s="22"/>
      <c r="K338" s="43"/>
    </row>
    <row r="339" ht="22.5" customHeight="1">
      <c r="B339" s="19"/>
      <c r="C339" s="19"/>
      <c r="D339" s="100"/>
      <c r="F339" s="28"/>
      <c r="G339" s="90"/>
      <c r="H339" s="42"/>
      <c r="I339" s="22"/>
      <c r="K339" s="43"/>
    </row>
    <row r="340" ht="22.5" customHeight="1">
      <c r="B340" s="19"/>
      <c r="C340" s="19"/>
      <c r="D340" s="100"/>
      <c r="F340" s="28"/>
      <c r="G340" s="90"/>
      <c r="H340" s="42"/>
      <c r="I340" s="22"/>
      <c r="K340" s="43"/>
    </row>
    <row r="341" ht="22.5" customHeight="1">
      <c r="B341" s="19"/>
      <c r="C341" s="19"/>
      <c r="D341" s="100"/>
      <c r="F341" s="28"/>
      <c r="G341" s="90"/>
      <c r="H341" s="42"/>
      <c r="I341" s="22"/>
      <c r="K341" s="43"/>
    </row>
    <row r="342" ht="22.5" customHeight="1">
      <c r="B342" s="19"/>
      <c r="C342" s="19"/>
      <c r="D342" s="100"/>
      <c r="F342" s="28"/>
      <c r="G342" s="90"/>
      <c r="H342" s="42"/>
      <c r="I342" s="22"/>
      <c r="K342" s="43"/>
    </row>
    <row r="343" ht="22.5" customHeight="1">
      <c r="B343" s="19"/>
      <c r="C343" s="19"/>
      <c r="D343" s="100"/>
      <c r="F343" s="28"/>
      <c r="G343" s="90"/>
      <c r="H343" s="42"/>
      <c r="I343" s="22"/>
      <c r="K343" s="43"/>
    </row>
    <row r="344" ht="22.5" customHeight="1">
      <c r="B344" s="19"/>
      <c r="C344" s="19"/>
      <c r="D344" s="100"/>
      <c r="F344" s="28"/>
      <c r="G344" s="90"/>
      <c r="H344" s="42"/>
      <c r="I344" s="22"/>
      <c r="K344" s="43"/>
    </row>
    <row r="345" ht="22.5" customHeight="1">
      <c r="B345" s="19"/>
      <c r="C345" s="19"/>
      <c r="D345" s="100"/>
      <c r="F345" s="28"/>
      <c r="G345" s="90"/>
      <c r="H345" s="42"/>
      <c r="I345" s="22"/>
      <c r="K345" s="43"/>
    </row>
    <row r="346" ht="22.5" customHeight="1">
      <c r="B346" s="19"/>
      <c r="C346" s="19"/>
      <c r="D346" s="100"/>
      <c r="F346" s="28"/>
      <c r="G346" s="90"/>
      <c r="H346" s="42"/>
      <c r="I346" s="22"/>
      <c r="K346" s="43"/>
    </row>
    <row r="347" ht="22.5" customHeight="1">
      <c r="B347" s="19"/>
      <c r="C347" s="19"/>
      <c r="D347" s="100"/>
      <c r="F347" s="28"/>
      <c r="G347" s="90"/>
      <c r="H347" s="42"/>
      <c r="I347" s="22"/>
      <c r="K347" s="43"/>
    </row>
    <row r="348" ht="22.5" customHeight="1">
      <c r="B348" s="19"/>
      <c r="C348" s="19"/>
      <c r="D348" s="100"/>
      <c r="F348" s="28"/>
      <c r="G348" s="90"/>
      <c r="H348" s="42"/>
      <c r="I348" s="22"/>
      <c r="K348" s="43"/>
    </row>
    <row r="349" ht="22.5" customHeight="1">
      <c r="B349" s="19"/>
      <c r="C349" s="19"/>
      <c r="D349" s="100"/>
      <c r="F349" s="28"/>
      <c r="G349" s="90"/>
      <c r="H349" s="42"/>
      <c r="I349" s="22"/>
      <c r="K349" s="43"/>
    </row>
    <row r="350" ht="22.5" customHeight="1">
      <c r="B350" s="19"/>
      <c r="C350" s="19"/>
      <c r="D350" s="100"/>
      <c r="F350" s="28"/>
      <c r="G350" s="90"/>
      <c r="H350" s="42"/>
      <c r="I350" s="22"/>
      <c r="K350" s="43"/>
    </row>
    <row r="351" ht="22.5" customHeight="1">
      <c r="B351" s="19"/>
      <c r="C351" s="19"/>
      <c r="D351" s="100"/>
      <c r="F351" s="28"/>
      <c r="G351" s="90"/>
      <c r="H351" s="42"/>
      <c r="I351" s="22"/>
      <c r="K351" s="43"/>
    </row>
    <row r="352" ht="22.5" customHeight="1">
      <c r="B352" s="19"/>
      <c r="C352" s="19"/>
      <c r="D352" s="100"/>
      <c r="F352" s="28"/>
      <c r="G352" s="90"/>
      <c r="H352" s="42"/>
      <c r="I352" s="22"/>
      <c r="K352" s="43"/>
    </row>
    <row r="353" ht="22.5" customHeight="1">
      <c r="B353" s="19"/>
      <c r="C353" s="19"/>
      <c r="D353" s="100"/>
      <c r="F353" s="28"/>
      <c r="G353" s="90"/>
      <c r="H353" s="42"/>
      <c r="I353" s="22"/>
      <c r="K353" s="43"/>
    </row>
    <row r="354" ht="22.5" customHeight="1">
      <c r="B354" s="19"/>
      <c r="C354" s="19"/>
      <c r="D354" s="100"/>
      <c r="F354" s="28"/>
      <c r="G354" s="90"/>
      <c r="H354" s="42"/>
      <c r="I354" s="22"/>
      <c r="K354" s="43"/>
    </row>
    <row r="355" ht="22.5" customHeight="1">
      <c r="B355" s="19"/>
      <c r="C355" s="19"/>
      <c r="D355" s="100"/>
      <c r="F355" s="28"/>
      <c r="G355" s="90"/>
      <c r="H355" s="42"/>
      <c r="I355" s="22"/>
      <c r="K355" s="43"/>
    </row>
    <row r="356" ht="22.5" customHeight="1">
      <c r="B356" s="19"/>
      <c r="C356" s="19"/>
      <c r="D356" s="100"/>
      <c r="F356" s="28"/>
      <c r="G356" s="90"/>
      <c r="H356" s="42"/>
      <c r="I356" s="22"/>
      <c r="K356" s="43"/>
    </row>
    <row r="357" ht="22.5" customHeight="1">
      <c r="B357" s="19"/>
      <c r="C357" s="19"/>
      <c r="D357" s="100"/>
      <c r="F357" s="28"/>
      <c r="G357" s="90"/>
      <c r="H357" s="42"/>
      <c r="I357" s="22"/>
      <c r="K357" s="43"/>
    </row>
    <row r="358" ht="22.5" customHeight="1">
      <c r="B358" s="19"/>
      <c r="C358" s="19"/>
      <c r="D358" s="100"/>
      <c r="F358" s="28"/>
      <c r="G358" s="90"/>
      <c r="H358" s="42"/>
      <c r="I358" s="22"/>
      <c r="K358" s="43"/>
    </row>
    <row r="359" ht="22.5" customHeight="1">
      <c r="B359" s="19"/>
      <c r="C359" s="19"/>
      <c r="D359" s="100"/>
      <c r="F359" s="28"/>
      <c r="G359" s="90"/>
      <c r="H359" s="42"/>
      <c r="I359" s="22"/>
      <c r="K359" s="43"/>
    </row>
    <row r="360" ht="22.5" customHeight="1">
      <c r="B360" s="19"/>
      <c r="C360" s="19"/>
      <c r="D360" s="100"/>
      <c r="F360" s="28"/>
      <c r="G360" s="90"/>
      <c r="H360" s="42"/>
      <c r="I360" s="22"/>
      <c r="K360" s="43"/>
    </row>
    <row r="361" ht="22.5" customHeight="1">
      <c r="B361" s="19"/>
      <c r="C361" s="19"/>
      <c r="D361" s="100"/>
      <c r="F361" s="28"/>
      <c r="G361" s="90"/>
      <c r="H361" s="42"/>
      <c r="I361" s="22"/>
      <c r="K361" s="43"/>
    </row>
    <row r="362" ht="22.5" customHeight="1">
      <c r="B362" s="19"/>
      <c r="C362" s="19"/>
      <c r="D362" s="100"/>
      <c r="F362" s="28"/>
      <c r="G362" s="90"/>
      <c r="H362" s="42"/>
      <c r="I362" s="22"/>
      <c r="K362" s="43"/>
    </row>
    <row r="363" ht="22.5" customHeight="1">
      <c r="B363" s="19"/>
      <c r="C363" s="19"/>
      <c r="D363" s="100"/>
      <c r="F363" s="28"/>
      <c r="G363" s="90"/>
      <c r="H363" s="42"/>
      <c r="I363" s="22"/>
      <c r="K363" s="43"/>
    </row>
    <row r="364" ht="22.5" customHeight="1">
      <c r="B364" s="19"/>
      <c r="C364" s="19"/>
      <c r="D364" s="100"/>
      <c r="F364" s="28"/>
      <c r="G364" s="90"/>
      <c r="H364" s="42"/>
      <c r="I364" s="22"/>
      <c r="K364" s="43"/>
    </row>
    <row r="365" ht="22.5" customHeight="1">
      <c r="B365" s="19"/>
      <c r="C365" s="19"/>
      <c r="D365" s="100"/>
      <c r="F365" s="28"/>
      <c r="G365" s="90"/>
      <c r="H365" s="42"/>
      <c r="I365" s="22"/>
      <c r="K365" s="43"/>
    </row>
    <row r="366" ht="22.5" customHeight="1">
      <c r="B366" s="19"/>
      <c r="C366" s="19"/>
      <c r="D366" s="100"/>
      <c r="F366" s="28"/>
      <c r="G366" s="90"/>
      <c r="H366" s="42"/>
      <c r="I366" s="22"/>
      <c r="K366" s="43"/>
    </row>
    <row r="367" ht="22.5" customHeight="1">
      <c r="B367" s="19"/>
      <c r="C367" s="19"/>
      <c r="D367" s="100"/>
      <c r="F367" s="28"/>
      <c r="G367" s="90"/>
      <c r="H367" s="42"/>
      <c r="I367" s="22"/>
      <c r="K367" s="43"/>
    </row>
    <row r="368" ht="22.5" customHeight="1">
      <c r="B368" s="19"/>
      <c r="C368" s="19"/>
      <c r="D368" s="100"/>
      <c r="F368" s="28"/>
      <c r="G368" s="90"/>
      <c r="H368" s="42"/>
      <c r="I368" s="22"/>
      <c r="K368" s="43"/>
    </row>
    <row r="369" ht="22.5" customHeight="1">
      <c r="B369" s="19"/>
      <c r="C369" s="19"/>
      <c r="D369" s="100"/>
      <c r="F369" s="28"/>
      <c r="G369" s="90"/>
      <c r="H369" s="42"/>
      <c r="I369" s="22"/>
      <c r="K369" s="43"/>
    </row>
    <row r="370" ht="22.5" customHeight="1">
      <c r="B370" s="19"/>
      <c r="C370" s="19"/>
      <c r="D370" s="100"/>
      <c r="F370" s="28"/>
      <c r="G370" s="90"/>
      <c r="H370" s="42"/>
      <c r="I370" s="22"/>
      <c r="K370" s="43"/>
    </row>
    <row r="371" ht="22.5" customHeight="1">
      <c r="B371" s="19"/>
      <c r="C371" s="19"/>
      <c r="D371" s="100"/>
      <c r="F371" s="28"/>
      <c r="G371" s="90"/>
      <c r="H371" s="42"/>
      <c r="I371" s="22"/>
      <c r="K371" s="43"/>
    </row>
    <row r="372" ht="22.5" customHeight="1">
      <c r="B372" s="19"/>
      <c r="C372" s="19"/>
      <c r="D372" s="100"/>
      <c r="F372" s="28"/>
      <c r="G372" s="90"/>
      <c r="H372" s="42"/>
      <c r="I372" s="22"/>
      <c r="K372" s="43"/>
    </row>
    <row r="373" ht="22.5" customHeight="1">
      <c r="B373" s="19"/>
      <c r="C373" s="19"/>
      <c r="D373" s="100"/>
      <c r="F373" s="28"/>
      <c r="G373" s="90"/>
      <c r="H373" s="42"/>
      <c r="I373" s="22"/>
      <c r="K373" s="43"/>
    </row>
    <row r="374" ht="22.5" customHeight="1">
      <c r="B374" s="19"/>
      <c r="C374" s="19"/>
      <c r="D374" s="100"/>
      <c r="F374" s="28"/>
      <c r="G374" s="90"/>
      <c r="H374" s="42"/>
      <c r="I374" s="22"/>
      <c r="K374" s="43"/>
    </row>
    <row r="375" ht="22.5" customHeight="1">
      <c r="B375" s="19"/>
      <c r="C375" s="19"/>
      <c r="D375" s="100"/>
      <c r="F375" s="28"/>
      <c r="G375" s="90"/>
      <c r="H375" s="42"/>
      <c r="I375" s="22"/>
      <c r="K375" s="43"/>
    </row>
    <row r="376" ht="22.5" customHeight="1">
      <c r="B376" s="19"/>
      <c r="C376" s="19"/>
      <c r="D376" s="100"/>
      <c r="F376" s="28"/>
      <c r="G376" s="90"/>
      <c r="H376" s="42"/>
      <c r="I376" s="22"/>
      <c r="K376" s="43"/>
    </row>
    <row r="377" ht="22.5" customHeight="1">
      <c r="B377" s="19"/>
      <c r="C377" s="19"/>
      <c r="D377" s="100"/>
      <c r="F377" s="28"/>
      <c r="G377" s="90"/>
      <c r="H377" s="42"/>
      <c r="I377" s="22"/>
      <c r="K377" s="43"/>
    </row>
    <row r="378" ht="22.5" customHeight="1">
      <c r="B378" s="19"/>
      <c r="C378" s="19"/>
      <c r="D378" s="100"/>
      <c r="F378" s="28"/>
      <c r="G378" s="90"/>
      <c r="H378" s="42"/>
      <c r="I378" s="22"/>
      <c r="K378" s="43"/>
    </row>
    <row r="379" ht="22.5" customHeight="1">
      <c r="B379" s="19"/>
      <c r="C379" s="19"/>
      <c r="D379" s="100"/>
      <c r="F379" s="28"/>
      <c r="G379" s="90"/>
      <c r="H379" s="42"/>
      <c r="I379" s="22"/>
      <c r="K379" s="43"/>
    </row>
    <row r="380" ht="22.5" customHeight="1">
      <c r="B380" s="19"/>
      <c r="C380" s="19"/>
      <c r="D380" s="100"/>
      <c r="F380" s="28"/>
      <c r="G380" s="90"/>
      <c r="H380" s="42"/>
      <c r="I380" s="22"/>
      <c r="K380" s="43"/>
    </row>
    <row r="381" ht="22.5" customHeight="1">
      <c r="B381" s="19"/>
      <c r="C381" s="19"/>
      <c r="D381" s="100"/>
      <c r="F381" s="28"/>
      <c r="G381" s="90"/>
      <c r="H381" s="42"/>
      <c r="I381" s="22"/>
      <c r="K381" s="43"/>
    </row>
    <row r="382" ht="22.5" customHeight="1">
      <c r="B382" s="19"/>
      <c r="C382" s="19"/>
      <c r="D382" s="100"/>
      <c r="F382" s="28"/>
      <c r="G382" s="90"/>
      <c r="H382" s="42"/>
      <c r="I382" s="22"/>
      <c r="K382" s="43"/>
    </row>
    <row r="383" ht="22.5" customHeight="1">
      <c r="B383" s="19"/>
      <c r="C383" s="19"/>
      <c r="D383" s="100"/>
      <c r="F383" s="28"/>
      <c r="G383" s="90"/>
      <c r="H383" s="42"/>
      <c r="I383" s="22"/>
      <c r="K383" s="43"/>
    </row>
    <row r="384" ht="22.5" customHeight="1">
      <c r="B384" s="19"/>
      <c r="C384" s="19"/>
      <c r="D384" s="100"/>
      <c r="F384" s="28"/>
      <c r="G384" s="90"/>
      <c r="H384" s="42"/>
      <c r="I384" s="22"/>
      <c r="K384" s="43"/>
    </row>
    <row r="385" ht="22.5" customHeight="1">
      <c r="B385" s="19"/>
      <c r="C385" s="19"/>
      <c r="D385" s="100"/>
      <c r="F385" s="28"/>
      <c r="G385" s="90"/>
      <c r="H385" s="42"/>
      <c r="I385" s="22"/>
      <c r="K385" s="43"/>
    </row>
    <row r="386" ht="22.5" customHeight="1">
      <c r="B386" s="19"/>
      <c r="C386" s="19"/>
      <c r="D386" s="100"/>
      <c r="F386" s="28"/>
      <c r="G386" s="90"/>
      <c r="H386" s="42"/>
      <c r="I386" s="22"/>
      <c r="K386" s="43"/>
    </row>
    <row r="387" ht="22.5" customHeight="1">
      <c r="B387" s="19"/>
      <c r="C387" s="19"/>
      <c r="D387" s="100"/>
      <c r="F387" s="28"/>
      <c r="G387" s="90"/>
      <c r="H387" s="42"/>
      <c r="I387" s="22"/>
      <c r="K387" s="43"/>
    </row>
    <row r="388" ht="22.5" customHeight="1">
      <c r="B388" s="19"/>
      <c r="C388" s="19"/>
      <c r="D388" s="100"/>
      <c r="F388" s="28"/>
      <c r="G388" s="90"/>
      <c r="H388" s="42"/>
      <c r="I388" s="22"/>
      <c r="K388" s="43"/>
    </row>
    <row r="389" ht="22.5" customHeight="1">
      <c r="B389" s="19"/>
      <c r="C389" s="19"/>
      <c r="D389" s="100"/>
      <c r="F389" s="28"/>
      <c r="G389" s="90"/>
      <c r="H389" s="42"/>
      <c r="I389" s="22"/>
      <c r="K389" s="43"/>
    </row>
    <row r="390" ht="22.5" customHeight="1">
      <c r="B390" s="19"/>
      <c r="C390" s="19"/>
      <c r="D390" s="100"/>
      <c r="F390" s="28"/>
      <c r="G390" s="90"/>
      <c r="H390" s="42"/>
      <c r="I390" s="22"/>
      <c r="K390" s="43"/>
    </row>
    <row r="391" ht="22.5" customHeight="1">
      <c r="B391" s="19"/>
      <c r="C391" s="19"/>
      <c r="D391" s="100"/>
      <c r="F391" s="28"/>
      <c r="G391" s="90"/>
      <c r="H391" s="42"/>
      <c r="I391" s="22"/>
      <c r="K391" s="43"/>
    </row>
    <row r="392" ht="22.5" customHeight="1">
      <c r="B392" s="19"/>
      <c r="C392" s="19"/>
      <c r="D392" s="100"/>
      <c r="F392" s="28"/>
      <c r="G392" s="90"/>
      <c r="H392" s="42"/>
      <c r="I392" s="22"/>
      <c r="K392" s="43"/>
    </row>
    <row r="393" ht="22.5" customHeight="1">
      <c r="B393" s="19"/>
      <c r="C393" s="19"/>
      <c r="D393" s="100"/>
      <c r="F393" s="28"/>
      <c r="G393" s="90"/>
      <c r="H393" s="42"/>
      <c r="I393" s="22"/>
      <c r="K393" s="43"/>
    </row>
    <row r="394" ht="22.5" customHeight="1">
      <c r="B394" s="19"/>
      <c r="C394" s="19"/>
      <c r="D394" s="100"/>
      <c r="F394" s="28"/>
      <c r="G394" s="90"/>
      <c r="H394" s="42"/>
      <c r="I394" s="22"/>
      <c r="K394" s="43"/>
    </row>
    <row r="395" ht="22.5" customHeight="1">
      <c r="B395" s="19"/>
      <c r="C395" s="19"/>
      <c r="D395" s="100"/>
      <c r="F395" s="28"/>
      <c r="G395" s="90"/>
      <c r="H395" s="42"/>
      <c r="I395" s="22"/>
      <c r="K395" s="43"/>
    </row>
    <row r="396" ht="22.5" customHeight="1">
      <c r="B396" s="19"/>
      <c r="C396" s="19"/>
      <c r="D396" s="100"/>
      <c r="F396" s="28"/>
      <c r="G396" s="90"/>
      <c r="H396" s="42"/>
      <c r="I396" s="22"/>
      <c r="K396" s="43"/>
    </row>
    <row r="397" ht="22.5" customHeight="1">
      <c r="B397" s="19"/>
      <c r="C397" s="19"/>
      <c r="D397" s="100"/>
      <c r="F397" s="28"/>
      <c r="G397" s="90"/>
      <c r="H397" s="42"/>
      <c r="I397" s="22"/>
      <c r="K397" s="43"/>
    </row>
    <row r="398" ht="22.5" customHeight="1">
      <c r="B398" s="19"/>
      <c r="C398" s="19"/>
      <c r="D398" s="100"/>
      <c r="F398" s="28"/>
      <c r="G398" s="90"/>
      <c r="H398" s="42"/>
      <c r="I398" s="22"/>
      <c r="K398" s="43"/>
    </row>
    <row r="399" ht="22.5" customHeight="1">
      <c r="B399" s="19"/>
      <c r="C399" s="19"/>
      <c r="D399" s="100"/>
      <c r="F399" s="28"/>
      <c r="G399" s="90"/>
      <c r="H399" s="42"/>
      <c r="I399" s="22"/>
      <c r="K399" s="43"/>
    </row>
    <row r="400" ht="22.5" customHeight="1">
      <c r="B400" s="19"/>
      <c r="C400" s="19"/>
      <c r="D400" s="100"/>
      <c r="F400" s="28"/>
      <c r="G400" s="90"/>
      <c r="H400" s="42"/>
      <c r="I400" s="22"/>
      <c r="K400" s="43"/>
    </row>
    <row r="401" ht="22.5" customHeight="1">
      <c r="B401" s="19"/>
      <c r="C401" s="19"/>
      <c r="D401" s="100"/>
      <c r="F401" s="28"/>
      <c r="G401" s="90"/>
      <c r="H401" s="42"/>
      <c r="I401" s="22"/>
      <c r="K401" s="43"/>
    </row>
    <row r="402" ht="22.5" customHeight="1">
      <c r="B402" s="19"/>
      <c r="C402" s="19"/>
      <c r="D402" s="100"/>
      <c r="F402" s="28"/>
      <c r="G402" s="90"/>
      <c r="H402" s="42"/>
      <c r="I402" s="22"/>
      <c r="K402" s="43"/>
    </row>
    <row r="403" ht="22.5" customHeight="1">
      <c r="B403" s="19"/>
      <c r="C403" s="19"/>
      <c r="D403" s="100"/>
      <c r="F403" s="28"/>
      <c r="G403" s="90"/>
      <c r="H403" s="42"/>
      <c r="I403" s="22"/>
      <c r="K403" s="43"/>
    </row>
    <row r="404" ht="22.5" customHeight="1">
      <c r="B404" s="19"/>
      <c r="C404" s="19"/>
      <c r="D404" s="100"/>
      <c r="F404" s="28"/>
      <c r="G404" s="90"/>
      <c r="H404" s="42"/>
      <c r="I404" s="22"/>
      <c r="K404" s="43"/>
    </row>
    <row r="405" ht="22.5" customHeight="1">
      <c r="B405" s="19"/>
      <c r="C405" s="19"/>
      <c r="D405" s="100"/>
      <c r="F405" s="28"/>
      <c r="G405" s="90"/>
      <c r="H405" s="42"/>
      <c r="I405" s="22"/>
      <c r="K405" s="43"/>
    </row>
    <row r="406" ht="22.5" customHeight="1">
      <c r="B406" s="19"/>
      <c r="C406" s="19"/>
      <c r="D406" s="100"/>
      <c r="F406" s="28"/>
      <c r="G406" s="90"/>
      <c r="H406" s="42"/>
      <c r="I406" s="22"/>
      <c r="K406" s="43"/>
    </row>
    <row r="407" ht="22.5" customHeight="1">
      <c r="B407" s="19"/>
      <c r="C407" s="19"/>
      <c r="D407" s="100"/>
      <c r="F407" s="28"/>
      <c r="G407" s="90"/>
      <c r="H407" s="42"/>
      <c r="I407" s="22"/>
      <c r="K407" s="43"/>
    </row>
    <row r="408" ht="22.5" customHeight="1">
      <c r="B408" s="19"/>
      <c r="C408" s="19"/>
      <c r="D408" s="100"/>
      <c r="F408" s="28"/>
      <c r="G408" s="90"/>
      <c r="H408" s="42"/>
      <c r="I408" s="22"/>
      <c r="K408" s="43"/>
    </row>
    <row r="409" ht="22.5" customHeight="1">
      <c r="B409" s="19"/>
      <c r="C409" s="19"/>
      <c r="D409" s="100"/>
      <c r="F409" s="28"/>
      <c r="G409" s="90"/>
      <c r="H409" s="42"/>
      <c r="I409" s="22"/>
      <c r="K409" s="43"/>
    </row>
    <row r="410" ht="22.5" customHeight="1">
      <c r="B410" s="19"/>
      <c r="C410" s="19"/>
      <c r="D410" s="100"/>
      <c r="F410" s="28"/>
      <c r="G410" s="90"/>
      <c r="H410" s="42"/>
      <c r="I410" s="22"/>
      <c r="K410" s="43"/>
    </row>
    <row r="411" ht="22.5" customHeight="1">
      <c r="B411" s="19"/>
      <c r="C411" s="19"/>
      <c r="D411" s="100"/>
      <c r="F411" s="28"/>
      <c r="G411" s="90"/>
      <c r="H411" s="42"/>
      <c r="I411" s="22"/>
      <c r="K411" s="43"/>
    </row>
    <row r="412" ht="22.5" customHeight="1">
      <c r="B412" s="19"/>
      <c r="C412" s="19"/>
      <c r="D412" s="100"/>
      <c r="F412" s="28"/>
      <c r="G412" s="90"/>
      <c r="H412" s="42"/>
      <c r="I412" s="22"/>
      <c r="K412" s="43"/>
    </row>
    <row r="413" ht="22.5" customHeight="1">
      <c r="B413" s="19"/>
      <c r="C413" s="19"/>
      <c r="D413" s="100"/>
      <c r="F413" s="28"/>
      <c r="G413" s="90"/>
      <c r="H413" s="42"/>
      <c r="I413" s="22"/>
      <c r="K413" s="43"/>
    </row>
    <row r="414" ht="22.5" customHeight="1">
      <c r="B414" s="19"/>
      <c r="C414" s="19"/>
      <c r="D414" s="100"/>
      <c r="F414" s="28"/>
      <c r="G414" s="90"/>
      <c r="H414" s="42"/>
      <c r="I414" s="22"/>
      <c r="K414" s="43"/>
    </row>
    <row r="415" ht="22.5" customHeight="1">
      <c r="B415" s="19"/>
      <c r="C415" s="19"/>
      <c r="D415" s="100"/>
      <c r="F415" s="28"/>
      <c r="G415" s="90"/>
      <c r="H415" s="42"/>
      <c r="I415" s="22"/>
      <c r="K415" s="43"/>
    </row>
    <row r="416" ht="22.5" customHeight="1">
      <c r="B416" s="19"/>
      <c r="C416" s="19"/>
      <c r="D416" s="100"/>
      <c r="F416" s="28"/>
      <c r="G416" s="90"/>
      <c r="H416" s="42"/>
      <c r="I416" s="22"/>
      <c r="K416" s="43"/>
    </row>
    <row r="417" ht="22.5" customHeight="1">
      <c r="B417" s="19"/>
      <c r="C417" s="19"/>
      <c r="D417" s="100"/>
      <c r="F417" s="28"/>
      <c r="G417" s="90"/>
      <c r="H417" s="42"/>
      <c r="I417" s="22"/>
      <c r="K417" s="43"/>
    </row>
    <row r="418" ht="22.5" customHeight="1">
      <c r="B418" s="19"/>
      <c r="C418" s="19"/>
      <c r="D418" s="100"/>
      <c r="F418" s="28"/>
      <c r="G418" s="90"/>
      <c r="H418" s="42"/>
      <c r="I418" s="22"/>
      <c r="K418" s="43"/>
    </row>
    <row r="419" ht="22.5" customHeight="1">
      <c r="B419" s="19"/>
      <c r="C419" s="19"/>
      <c r="D419" s="100"/>
      <c r="F419" s="28"/>
      <c r="G419" s="90"/>
      <c r="H419" s="42"/>
      <c r="I419" s="22"/>
      <c r="K419" s="43"/>
    </row>
    <row r="420" ht="22.5" customHeight="1">
      <c r="B420" s="19"/>
      <c r="C420" s="19"/>
      <c r="D420" s="100"/>
      <c r="F420" s="28"/>
      <c r="G420" s="90"/>
      <c r="H420" s="42"/>
      <c r="I420" s="22"/>
      <c r="K420" s="43"/>
    </row>
    <row r="421" ht="22.5" customHeight="1">
      <c r="B421" s="19"/>
      <c r="C421" s="19"/>
      <c r="D421" s="100"/>
      <c r="F421" s="28"/>
      <c r="G421" s="90"/>
      <c r="H421" s="42"/>
      <c r="I421" s="22"/>
      <c r="K421" s="43"/>
    </row>
    <row r="422" ht="22.5" customHeight="1">
      <c r="B422" s="19"/>
      <c r="C422" s="19"/>
      <c r="D422" s="100"/>
      <c r="F422" s="28"/>
      <c r="G422" s="90"/>
      <c r="H422" s="42"/>
      <c r="I422" s="22"/>
      <c r="K422" s="43"/>
    </row>
    <row r="423" ht="22.5" customHeight="1">
      <c r="B423" s="19"/>
      <c r="C423" s="19"/>
      <c r="D423" s="100"/>
      <c r="F423" s="28"/>
      <c r="G423" s="90"/>
      <c r="H423" s="42"/>
      <c r="I423" s="22"/>
      <c r="K423" s="43"/>
    </row>
    <row r="424" ht="22.5" customHeight="1">
      <c r="B424" s="19"/>
      <c r="C424" s="19"/>
      <c r="D424" s="100"/>
      <c r="F424" s="28"/>
      <c r="G424" s="90"/>
      <c r="H424" s="42"/>
      <c r="I424" s="22"/>
      <c r="K424" s="43"/>
    </row>
    <row r="425" ht="22.5" customHeight="1">
      <c r="B425" s="19"/>
      <c r="C425" s="19"/>
      <c r="D425" s="100"/>
      <c r="F425" s="28"/>
      <c r="G425" s="90"/>
      <c r="H425" s="42"/>
      <c r="I425" s="22"/>
      <c r="K425" s="43"/>
    </row>
    <row r="426" ht="22.5" customHeight="1">
      <c r="B426" s="19"/>
      <c r="C426" s="19"/>
      <c r="D426" s="100"/>
      <c r="F426" s="28"/>
      <c r="G426" s="90"/>
      <c r="H426" s="42"/>
      <c r="I426" s="22"/>
      <c r="K426" s="43"/>
    </row>
    <row r="427" ht="22.5" customHeight="1">
      <c r="B427" s="19"/>
      <c r="C427" s="19"/>
      <c r="D427" s="100"/>
      <c r="F427" s="28"/>
      <c r="G427" s="90"/>
      <c r="H427" s="42"/>
      <c r="I427" s="22"/>
      <c r="K427" s="43"/>
    </row>
    <row r="428" ht="22.5" customHeight="1">
      <c r="B428" s="19"/>
      <c r="C428" s="19"/>
      <c r="D428" s="100"/>
      <c r="F428" s="28"/>
      <c r="G428" s="90"/>
      <c r="H428" s="42"/>
      <c r="I428" s="22"/>
      <c r="K428" s="43"/>
    </row>
    <row r="429" ht="22.5" customHeight="1">
      <c r="B429" s="19"/>
      <c r="C429" s="19"/>
      <c r="D429" s="100"/>
      <c r="F429" s="28"/>
      <c r="G429" s="90"/>
      <c r="H429" s="42"/>
      <c r="I429" s="22"/>
      <c r="K429" s="43"/>
    </row>
    <row r="430" ht="22.5" customHeight="1">
      <c r="B430" s="19"/>
      <c r="C430" s="19"/>
      <c r="D430" s="100"/>
      <c r="F430" s="28"/>
      <c r="G430" s="90"/>
      <c r="H430" s="42"/>
      <c r="I430" s="22"/>
      <c r="K430" s="43"/>
    </row>
    <row r="431" ht="22.5" customHeight="1">
      <c r="B431" s="19"/>
      <c r="C431" s="19"/>
      <c r="D431" s="100"/>
      <c r="F431" s="28"/>
      <c r="G431" s="90"/>
      <c r="H431" s="42"/>
      <c r="I431" s="22"/>
      <c r="K431" s="43"/>
    </row>
    <row r="432" ht="22.5" customHeight="1">
      <c r="B432" s="19"/>
      <c r="C432" s="19"/>
      <c r="D432" s="100"/>
      <c r="F432" s="28"/>
      <c r="G432" s="90"/>
      <c r="H432" s="42"/>
      <c r="I432" s="22"/>
      <c r="K432" s="43"/>
    </row>
    <row r="433" ht="22.5" customHeight="1">
      <c r="B433" s="19"/>
      <c r="C433" s="19"/>
      <c r="D433" s="100"/>
      <c r="F433" s="28"/>
      <c r="G433" s="90"/>
      <c r="H433" s="42"/>
      <c r="I433" s="22"/>
      <c r="K433" s="43"/>
    </row>
    <row r="434" ht="22.5" customHeight="1">
      <c r="B434" s="19"/>
      <c r="C434" s="19"/>
      <c r="D434" s="100"/>
      <c r="F434" s="28"/>
      <c r="G434" s="90"/>
      <c r="H434" s="42"/>
      <c r="I434" s="22"/>
      <c r="K434" s="43"/>
    </row>
    <row r="435" ht="22.5" customHeight="1">
      <c r="B435" s="19"/>
      <c r="C435" s="19"/>
      <c r="D435" s="100"/>
      <c r="F435" s="28"/>
      <c r="G435" s="90"/>
      <c r="H435" s="42"/>
      <c r="I435" s="22"/>
      <c r="K435" s="43"/>
    </row>
    <row r="436" ht="22.5" customHeight="1">
      <c r="B436" s="19"/>
      <c r="C436" s="19"/>
      <c r="D436" s="100"/>
      <c r="F436" s="28"/>
      <c r="G436" s="90"/>
      <c r="H436" s="42"/>
      <c r="I436" s="22"/>
      <c r="K436" s="43"/>
    </row>
    <row r="437" ht="22.5" customHeight="1">
      <c r="B437" s="19"/>
      <c r="C437" s="19"/>
      <c r="D437" s="100"/>
      <c r="F437" s="28"/>
      <c r="G437" s="90"/>
      <c r="H437" s="42"/>
      <c r="I437" s="22"/>
      <c r="K437" s="43"/>
    </row>
    <row r="438" ht="22.5" customHeight="1">
      <c r="B438" s="19"/>
      <c r="C438" s="19"/>
      <c r="D438" s="100"/>
      <c r="F438" s="28"/>
      <c r="G438" s="90"/>
      <c r="H438" s="42"/>
      <c r="I438" s="22"/>
      <c r="K438" s="43"/>
    </row>
    <row r="439" ht="22.5" customHeight="1">
      <c r="B439" s="19"/>
      <c r="C439" s="19"/>
      <c r="D439" s="100"/>
      <c r="F439" s="28"/>
      <c r="G439" s="90"/>
      <c r="H439" s="42"/>
      <c r="I439" s="22"/>
      <c r="K439" s="43"/>
    </row>
    <row r="440" ht="22.5" customHeight="1">
      <c r="B440" s="19"/>
      <c r="C440" s="19"/>
      <c r="D440" s="100"/>
      <c r="F440" s="28"/>
      <c r="G440" s="90"/>
      <c r="H440" s="42"/>
      <c r="I440" s="22"/>
      <c r="K440" s="43"/>
    </row>
    <row r="441" ht="22.5" customHeight="1">
      <c r="B441" s="19"/>
      <c r="C441" s="19"/>
      <c r="D441" s="100"/>
      <c r="F441" s="28"/>
      <c r="G441" s="90"/>
      <c r="H441" s="42"/>
      <c r="I441" s="22"/>
      <c r="K441" s="43"/>
    </row>
    <row r="442" ht="22.5" customHeight="1">
      <c r="B442" s="19"/>
      <c r="C442" s="19"/>
      <c r="D442" s="100"/>
      <c r="F442" s="28"/>
      <c r="G442" s="90"/>
      <c r="H442" s="42"/>
      <c r="I442" s="22"/>
      <c r="K442" s="43"/>
    </row>
    <row r="443" ht="22.5" customHeight="1">
      <c r="B443" s="19"/>
      <c r="C443" s="19"/>
      <c r="D443" s="100"/>
      <c r="F443" s="28"/>
      <c r="G443" s="90"/>
      <c r="H443" s="42"/>
      <c r="I443" s="22"/>
      <c r="K443" s="43"/>
    </row>
    <row r="444" ht="22.5" customHeight="1">
      <c r="B444" s="19"/>
      <c r="C444" s="19"/>
      <c r="D444" s="100"/>
      <c r="F444" s="28"/>
      <c r="G444" s="90"/>
      <c r="H444" s="42"/>
      <c r="I444" s="22"/>
      <c r="K444" s="43"/>
    </row>
    <row r="445" ht="22.5" customHeight="1">
      <c r="B445" s="19"/>
      <c r="C445" s="19"/>
      <c r="D445" s="100"/>
      <c r="F445" s="28"/>
      <c r="G445" s="90"/>
      <c r="H445" s="42"/>
      <c r="I445" s="22"/>
      <c r="K445" s="43"/>
    </row>
    <row r="446" ht="22.5" customHeight="1">
      <c r="B446" s="19"/>
      <c r="C446" s="19"/>
      <c r="D446" s="100"/>
      <c r="F446" s="28"/>
      <c r="G446" s="90"/>
      <c r="H446" s="42"/>
      <c r="I446" s="22"/>
      <c r="K446" s="43"/>
    </row>
    <row r="447" ht="22.5" customHeight="1">
      <c r="B447" s="19"/>
      <c r="C447" s="19"/>
      <c r="D447" s="100"/>
      <c r="F447" s="28"/>
      <c r="G447" s="90"/>
      <c r="H447" s="42"/>
      <c r="I447" s="22"/>
      <c r="K447" s="43"/>
    </row>
    <row r="448" ht="22.5" customHeight="1">
      <c r="B448" s="19"/>
      <c r="C448" s="19"/>
      <c r="D448" s="100"/>
      <c r="F448" s="28"/>
      <c r="G448" s="90"/>
      <c r="H448" s="42"/>
      <c r="I448" s="22"/>
      <c r="K448" s="43"/>
    </row>
    <row r="449" ht="22.5" customHeight="1">
      <c r="B449" s="19"/>
      <c r="C449" s="19"/>
      <c r="D449" s="100"/>
      <c r="F449" s="28"/>
      <c r="G449" s="90"/>
      <c r="H449" s="42"/>
      <c r="I449" s="22"/>
      <c r="K449" s="43"/>
    </row>
    <row r="450" ht="22.5" customHeight="1">
      <c r="B450" s="19"/>
      <c r="C450" s="19"/>
      <c r="D450" s="100"/>
      <c r="F450" s="28"/>
      <c r="G450" s="90"/>
      <c r="H450" s="42"/>
      <c r="I450" s="22"/>
      <c r="K450" s="43"/>
    </row>
    <row r="451" ht="22.5" customHeight="1">
      <c r="B451" s="19"/>
      <c r="C451" s="19"/>
      <c r="D451" s="100"/>
      <c r="F451" s="28"/>
      <c r="G451" s="90"/>
      <c r="H451" s="42"/>
      <c r="I451" s="22"/>
      <c r="K451" s="43"/>
    </row>
    <row r="452" ht="22.5" customHeight="1">
      <c r="B452" s="19"/>
      <c r="C452" s="19"/>
      <c r="D452" s="100"/>
      <c r="F452" s="28"/>
      <c r="G452" s="90"/>
      <c r="H452" s="42"/>
      <c r="I452" s="22"/>
      <c r="K452" s="43"/>
    </row>
    <row r="453" ht="22.5" customHeight="1">
      <c r="B453" s="19"/>
      <c r="C453" s="19"/>
      <c r="D453" s="100"/>
      <c r="F453" s="28"/>
      <c r="G453" s="90"/>
      <c r="H453" s="42"/>
      <c r="I453" s="22"/>
      <c r="K453" s="43"/>
    </row>
    <row r="454" ht="22.5" customHeight="1">
      <c r="B454" s="19"/>
      <c r="C454" s="19"/>
      <c r="D454" s="100"/>
      <c r="F454" s="28"/>
      <c r="G454" s="90"/>
      <c r="H454" s="42"/>
      <c r="I454" s="22"/>
      <c r="K454" s="43"/>
    </row>
    <row r="455" ht="22.5" customHeight="1">
      <c r="B455" s="19"/>
      <c r="C455" s="19"/>
      <c r="D455" s="100"/>
      <c r="F455" s="28"/>
      <c r="G455" s="90"/>
      <c r="H455" s="42"/>
      <c r="I455" s="22"/>
      <c r="K455" s="43"/>
    </row>
    <row r="456" ht="22.5" customHeight="1">
      <c r="B456" s="19"/>
      <c r="C456" s="19"/>
      <c r="D456" s="100"/>
      <c r="F456" s="28"/>
      <c r="G456" s="90"/>
      <c r="H456" s="42"/>
      <c r="I456" s="22"/>
      <c r="K456" s="43"/>
    </row>
    <row r="457" ht="22.5" customHeight="1">
      <c r="B457" s="19"/>
      <c r="C457" s="19"/>
      <c r="D457" s="100"/>
      <c r="F457" s="28"/>
      <c r="G457" s="90"/>
      <c r="H457" s="42"/>
      <c r="I457" s="22"/>
      <c r="K457" s="43"/>
    </row>
    <row r="458" ht="22.5" customHeight="1">
      <c r="B458" s="19"/>
      <c r="C458" s="19"/>
      <c r="D458" s="100"/>
      <c r="F458" s="28"/>
      <c r="G458" s="90"/>
      <c r="H458" s="42"/>
      <c r="I458" s="22"/>
      <c r="K458" s="43"/>
    </row>
    <row r="459" ht="22.5" customHeight="1">
      <c r="B459" s="19"/>
      <c r="C459" s="19"/>
      <c r="D459" s="100"/>
      <c r="F459" s="28"/>
      <c r="G459" s="90"/>
      <c r="H459" s="42"/>
      <c r="I459" s="22"/>
      <c r="K459" s="43"/>
    </row>
    <row r="460" ht="22.5" customHeight="1">
      <c r="B460" s="19"/>
      <c r="C460" s="19"/>
      <c r="D460" s="100"/>
      <c r="F460" s="28"/>
      <c r="G460" s="90"/>
      <c r="H460" s="42"/>
      <c r="I460" s="22"/>
      <c r="K460" s="43"/>
    </row>
    <row r="461" ht="22.5" customHeight="1">
      <c r="B461" s="19"/>
      <c r="C461" s="19"/>
      <c r="D461" s="100"/>
      <c r="F461" s="28"/>
      <c r="G461" s="90"/>
      <c r="H461" s="42"/>
      <c r="I461" s="22"/>
      <c r="K461" s="43"/>
    </row>
    <row r="462" ht="22.5" customHeight="1">
      <c r="B462" s="19"/>
      <c r="C462" s="19"/>
      <c r="D462" s="100"/>
      <c r="F462" s="28"/>
      <c r="G462" s="90"/>
      <c r="H462" s="42"/>
      <c r="I462" s="22"/>
      <c r="K462" s="43"/>
    </row>
    <row r="463" ht="22.5" customHeight="1">
      <c r="B463" s="19"/>
      <c r="C463" s="19"/>
      <c r="D463" s="100"/>
      <c r="F463" s="28"/>
      <c r="G463" s="90"/>
      <c r="H463" s="42"/>
      <c r="I463" s="22"/>
      <c r="K463" s="43"/>
    </row>
    <row r="464" ht="22.5" customHeight="1">
      <c r="B464" s="19"/>
      <c r="C464" s="19"/>
      <c r="D464" s="100"/>
      <c r="F464" s="28"/>
      <c r="G464" s="90"/>
      <c r="H464" s="42"/>
      <c r="I464" s="22"/>
      <c r="K464" s="43"/>
    </row>
    <row r="465" ht="22.5" customHeight="1">
      <c r="B465" s="19"/>
      <c r="C465" s="19"/>
      <c r="D465" s="100"/>
      <c r="F465" s="28"/>
      <c r="G465" s="90"/>
      <c r="H465" s="42"/>
      <c r="I465" s="22"/>
      <c r="K465" s="43"/>
    </row>
    <row r="466" ht="22.5" customHeight="1">
      <c r="B466" s="19"/>
      <c r="C466" s="19"/>
      <c r="D466" s="100"/>
      <c r="F466" s="28"/>
      <c r="G466" s="90"/>
      <c r="H466" s="42"/>
      <c r="I466" s="22"/>
      <c r="K466" s="43"/>
    </row>
    <row r="467" ht="22.5" customHeight="1">
      <c r="B467" s="19"/>
      <c r="C467" s="19"/>
      <c r="D467" s="100"/>
      <c r="F467" s="28"/>
      <c r="G467" s="90"/>
      <c r="H467" s="42"/>
      <c r="I467" s="22"/>
      <c r="K467" s="43"/>
    </row>
    <row r="468" ht="22.5" customHeight="1">
      <c r="B468" s="19"/>
      <c r="C468" s="19"/>
      <c r="D468" s="100"/>
      <c r="F468" s="28"/>
      <c r="G468" s="90"/>
      <c r="H468" s="42"/>
      <c r="I468" s="22"/>
      <c r="K468" s="43"/>
    </row>
    <row r="469" ht="22.5" customHeight="1">
      <c r="B469" s="19"/>
      <c r="C469" s="19"/>
      <c r="D469" s="100"/>
      <c r="F469" s="28"/>
      <c r="G469" s="90"/>
      <c r="H469" s="42"/>
      <c r="I469" s="22"/>
      <c r="K469" s="43"/>
    </row>
    <row r="470" ht="22.5" customHeight="1">
      <c r="B470" s="19"/>
      <c r="C470" s="19"/>
      <c r="D470" s="100"/>
      <c r="F470" s="28"/>
      <c r="G470" s="90"/>
      <c r="H470" s="42"/>
      <c r="I470" s="22"/>
      <c r="K470" s="43"/>
    </row>
    <row r="471" ht="22.5" customHeight="1">
      <c r="B471" s="19"/>
      <c r="C471" s="19"/>
      <c r="D471" s="100"/>
      <c r="F471" s="28"/>
      <c r="G471" s="90"/>
      <c r="H471" s="42"/>
      <c r="I471" s="22"/>
      <c r="K471" s="43"/>
    </row>
    <row r="472" ht="22.5" customHeight="1">
      <c r="B472" s="19"/>
      <c r="C472" s="19"/>
      <c r="D472" s="100"/>
      <c r="F472" s="28"/>
      <c r="G472" s="90"/>
      <c r="H472" s="42"/>
      <c r="I472" s="22"/>
      <c r="K472" s="43"/>
    </row>
    <row r="473" ht="22.5" customHeight="1">
      <c r="B473" s="19"/>
      <c r="C473" s="19"/>
      <c r="D473" s="100"/>
      <c r="F473" s="28"/>
      <c r="G473" s="90"/>
      <c r="H473" s="42"/>
      <c r="I473" s="22"/>
      <c r="K473" s="43"/>
    </row>
    <row r="474" ht="22.5" customHeight="1">
      <c r="B474" s="19"/>
      <c r="C474" s="19"/>
      <c r="D474" s="100"/>
      <c r="F474" s="28"/>
      <c r="G474" s="90"/>
      <c r="H474" s="42"/>
      <c r="I474" s="22"/>
      <c r="K474" s="43"/>
    </row>
    <row r="475" ht="22.5" customHeight="1">
      <c r="B475" s="19"/>
      <c r="C475" s="19"/>
      <c r="D475" s="100"/>
      <c r="F475" s="28"/>
      <c r="G475" s="90"/>
      <c r="H475" s="42"/>
      <c r="I475" s="22"/>
      <c r="K475" s="43"/>
    </row>
    <row r="476" ht="22.5" customHeight="1">
      <c r="B476" s="19"/>
      <c r="C476" s="19"/>
      <c r="D476" s="100"/>
      <c r="F476" s="28"/>
      <c r="G476" s="90"/>
      <c r="H476" s="42"/>
      <c r="I476" s="22"/>
      <c r="K476" s="43"/>
    </row>
    <row r="477" ht="22.5" customHeight="1">
      <c r="B477" s="19"/>
      <c r="C477" s="19"/>
      <c r="D477" s="100"/>
      <c r="F477" s="28"/>
      <c r="G477" s="90"/>
      <c r="H477" s="42"/>
      <c r="I477" s="22"/>
      <c r="K477" s="43"/>
    </row>
    <row r="478" ht="22.5" customHeight="1">
      <c r="B478" s="19"/>
      <c r="C478" s="19"/>
      <c r="D478" s="100"/>
      <c r="F478" s="28"/>
      <c r="G478" s="90"/>
      <c r="H478" s="42"/>
      <c r="I478" s="22"/>
      <c r="K478" s="43"/>
    </row>
    <row r="479" ht="22.5" customHeight="1">
      <c r="B479" s="19"/>
      <c r="C479" s="19"/>
      <c r="D479" s="100"/>
      <c r="F479" s="28"/>
      <c r="G479" s="90"/>
      <c r="H479" s="42"/>
      <c r="I479" s="22"/>
      <c r="K479" s="43"/>
    </row>
    <row r="480" ht="22.5" customHeight="1">
      <c r="B480" s="19"/>
      <c r="C480" s="19"/>
      <c r="D480" s="100"/>
      <c r="F480" s="28"/>
      <c r="G480" s="90"/>
      <c r="H480" s="42"/>
      <c r="I480" s="22"/>
      <c r="K480" s="43"/>
    </row>
    <row r="481" ht="22.5" customHeight="1">
      <c r="B481" s="19"/>
      <c r="C481" s="19"/>
      <c r="D481" s="100"/>
      <c r="F481" s="28"/>
      <c r="G481" s="90"/>
      <c r="H481" s="42"/>
      <c r="I481" s="22"/>
      <c r="K481" s="43"/>
    </row>
    <row r="482" ht="22.5" customHeight="1">
      <c r="B482" s="19"/>
      <c r="C482" s="19"/>
      <c r="D482" s="100"/>
      <c r="F482" s="28"/>
      <c r="G482" s="90"/>
      <c r="H482" s="42"/>
      <c r="I482" s="22"/>
      <c r="K482" s="43"/>
    </row>
    <row r="483" ht="22.5" customHeight="1">
      <c r="B483" s="19"/>
      <c r="C483" s="19"/>
      <c r="D483" s="100"/>
      <c r="F483" s="28"/>
      <c r="G483" s="90"/>
      <c r="H483" s="42"/>
      <c r="I483" s="22"/>
      <c r="K483" s="43"/>
    </row>
    <row r="484" ht="22.5" customHeight="1">
      <c r="B484" s="19"/>
      <c r="C484" s="19"/>
      <c r="D484" s="100"/>
      <c r="F484" s="28"/>
      <c r="G484" s="90"/>
      <c r="H484" s="42"/>
      <c r="I484" s="22"/>
      <c r="K484" s="43"/>
    </row>
    <row r="485" ht="22.5" customHeight="1">
      <c r="B485" s="19"/>
      <c r="C485" s="19"/>
      <c r="D485" s="100"/>
      <c r="F485" s="28"/>
      <c r="G485" s="90"/>
      <c r="H485" s="42"/>
      <c r="I485" s="22"/>
      <c r="K485" s="43"/>
    </row>
    <row r="486" ht="22.5" customHeight="1">
      <c r="B486" s="19"/>
      <c r="C486" s="19"/>
      <c r="D486" s="100"/>
      <c r="F486" s="28"/>
      <c r="G486" s="90"/>
      <c r="H486" s="42"/>
      <c r="I486" s="22"/>
      <c r="K486" s="43"/>
    </row>
    <row r="487" ht="22.5" customHeight="1">
      <c r="B487" s="19"/>
      <c r="C487" s="19"/>
      <c r="D487" s="100"/>
      <c r="F487" s="28"/>
      <c r="G487" s="90"/>
      <c r="H487" s="42"/>
      <c r="I487" s="22"/>
      <c r="K487" s="43"/>
    </row>
    <row r="488" ht="22.5" customHeight="1">
      <c r="B488" s="19"/>
      <c r="C488" s="19"/>
      <c r="D488" s="100"/>
      <c r="F488" s="28"/>
      <c r="G488" s="90"/>
      <c r="H488" s="42"/>
      <c r="I488" s="22"/>
      <c r="K488" s="43"/>
    </row>
    <row r="489" ht="22.5" customHeight="1">
      <c r="B489" s="19"/>
      <c r="C489" s="19"/>
      <c r="D489" s="100"/>
      <c r="F489" s="28"/>
      <c r="G489" s="90"/>
      <c r="H489" s="42"/>
      <c r="I489" s="22"/>
      <c r="K489" s="43"/>
    </row>
    <row r="490" ht="22.5" customHeight="1">
      <c r="B490" s="19"/>
      <c r="C490" s="19"/>
      <c r="D490" s="100"/>
      <c r="F490" s="28"/>
      <c r="G490" s="90"/>
      <c r="H490" s="42"/>
      <c r="I490" s="22"/>
      <c r="K490" s="43"/>
    </row>
    <row r="491" ht="22.5" customHeight="1">
      <c r="B491" s="19"/>
      <c r="C491" s="19"/>
      <c r="D491" s="100"/>
      <c r="F491" s="28"/>
      <c r="G491" s="90"/>
      <c r="H491" s="42"/>
      <c r="I491" s="22"/>
      <c r="K491" s="43"/>
    </row>
    <row r="492" ht="22.5" customHeight="1">
      <c r="B492" s="19"/>
      <c r="C492" s="19"/>
      <c r="D492" s="100"/>
      <c r="F492" s="28"/>
      <c r="G492" s="90"/>
      <c r="H492" s="42"/>
      <c r="I492" s="22"/>
      <c r="K492" s="43"/>
    </row>
    <row r="493" ht="22.5" customHeight="1">
      <c r="B493" s="19"/>
      <c r="C493" s="19"/>
      <c r="D493" s="100"/>
      <c r="F493" s="28"/>
      <c r="G493" s="90"/>
      <c r="H493" s="42"/>
      <c r="I493" s="22"/>
      <c r="K493" s="43"/>
    </row>
    <row r="494" ht="22.5" customHeight="1">
      <c r="B494" s="19"/>
      <c r="C494" s="19"/>
      <c r="D494" s="100"/>
      <c r="F494" s="28"/>
      <c r="G494" s="90"/>
      <c r="H494" s="42"/>
      <c r="I494" s="22"/>
      <c r="K494" s="43"/>
    </row>
    <row r="495" ht="22.5" customHeight="1">
      <c r="B495" s="19"/>
      <c r="C495" s="19"/>
      <c r="D495" s="100"/>
      <c r="F495" s="28"/>
      <c r="G495" s="90"/>
      <c r="H495" s="42"/>
      <c r="I495" s="22"/>
      <c r="K495" s="43"/>
    </row>
    <row r="496" ht="22.5" customHeight="1">
      <c r="B496" s="19"/>
      <c r="C496" s="19"/>
      <c r="D496" s="100"/>
      <c r="F496" s="28"/>
      <c r="G496" s="90"/>
      <c r="H496" s="42"/>
      <c r="I496" s="22"/>
      <c r="K496" s="43"/>
    </row>
    <row r="497" ht="22.5" customHeight="1">
      <c r="B497" s="19"/>
      <c r="C497" s="19"/>
      <c r="D497" s="100"/>
      <c r="F497" s="28"/>
      <c r="G497" s="90"/>
      <c r="H497" s="42"/>
      <c r="I497" s="22"/>
      <c r="K497" s="43"/>
    </row>
    <row r="498" ht="22.5" customHeight="1">
      <c r="B498" s="19"/>
      <c r="C498" s="19"/>
      <c r="D498" s="100"/>
      <c r="F498" s="28"/>
      <c r="G498" s="90"/>
      <c r="H498" s="42"/>
      <c r="I498" s="22"/>
      <c r="K498" s="43"/>
    </row>
    <row r="499" ht="22.5" customHeight="1">
      <c r="B499" s="19"/>
      <c r="C499" s="19"/>
      <c r="D499" s="100"/>
      <c r="F499" s="28"/>
      <c r="G499" s="90"/>
      <c r="H499" s="42"/>
      <c r="I499" s="22"/>
      <c r="K499" s="43"/>
    </row>
    <row r="500" ht="22.5" customHeight="1">
      <c r="B500" s="19"/>
      <c r="C500" s="19"/>
      <c r="D500" s="100"/>
      <c r="F500" s="28"/>
      <c r="G500" s="90"/>
      <c r="H500" s="42"/>
      <c r="I500" s="22"/>
      <c r="K500" s="43"/>
    </row>
    <row r="501" ht="22.5" customHeight="1">
      <c r="B501" s="19"/>
      <c r="C501" s="19"/>
      <c r="D501" s="100"/>
      <c r="F501" s="28"/>
      <c r="G501" s="90"/>
      <c r="H501" s="42"/>
      <c r="I501" s="22"/>
      <c r="K501" s="43"/>
    </row>
    <row r="502" ht="22.5" customHeight="1">
      <c r="B502" s="19"/>
      <c r="C502" s="19"/>
      <c r="D502" s="100"/>
      <c r="F502" s="28"/>
      <c r="G502" s="90"/>
      <c r="H502" s="42"/>
      <c r="I502" s="22"/>
      <c r="K502" s="43"/>
    </row>
    <row r="503" ht="22.5" customHeight="1">
      <c r="B503" s="19"/>
      <c r="C503" s="19"/>
      <c r="D503" s="100"/>
      <c r="F503" s="28"/>
      <c r="G503" s="90"/>
      <c r="H503" s="42"/>
      <c r="I503" s="22"/>
      <c r="K503" s="43"/>
    </row>
    <row r="504" ht="22.5" customHeight="1">
      <c r="B504" s="19"/>
      <c r="C504" s="19"/>
      <c r="D504" s="100"/>
      <c r="F504" s="28"/>
      <c r="G504" s="90"/>
      <c r="H504" s="42"/>
      <c r="I504" s="22"/>
      <c r="K504" s="43"/>
    </row>
    <row r="505" ht="22.5" customHeight="1">
      <c r="B505" s="19"/>
      <c r="C505" s="19"/>
      <c r="D505" s="100"/>
      <c r="F505" s="28"/>
      <c r="G505" s="90"/>
      <c r="H505" s="42"/>
      <c r="I505" s="22"/>
      <c r="K505" s="43"/>
    </row>
    <row r="506" ht="22.5" customHeight="1">
      <c r="B506" s="19"/>
      <c r="C506" s="19"/>
      <c r="D506" s="100"/>
      <c r="F506" s="28"/>
      <c r="G506" s="90"/>
      <c r="H506" s="42"/>
      <c r="I506" s="22"/>
      <c r="K506" s="43"/>
    </row>
    <row r="507" ht="22.5" customHeight="1">
      <c r="B507" s="19"/>
      <c r="C507" s="19"/>
      <c r="D507" s="100"/>
      <c r="F507" s="28"/>
      <c r="G507" s="90"/>
      <c r="H507" s="42"/>
      <c r="I507" s="22"/>
      <c r="K507" s="43"/>
    </row>
    <row r="508" ht="22.5" customHeight="1">
      <c r="B508" s="19"/>
      <c r="C508" s="19"/>
      <c r="D508" s="100"/>
      <c r="F508" s="28"/>
      <c r="G508" s="90"/>
      <c r="H508" s="42"/>
      <c r="I508" s="22"/>
      <c r="K508" s="43"/>
    </row>
    <row r="509" ht="22.5" customHeight="1">
      <c r="B509" s="19"/>
      <c r="C509" s="19"/>
      <c r="D509" s="100"/>
      <c r="F509" s="28"/>
      <c r="G509" s="90"/>
      <c r="H509" s="42"/>
      <c r="I509" s="22"/>
      <c r="K509" s="43"/>
    </row>
    <row r="510" ht="22.5" customHeight="1">
      <c r="B510" s="19"/>
      <c r="C510" s="19"/>
      <c r="D510" s="100"/>
      <c r="F510" s="28"/>
      <c r="G510" s="90"/>
      <c r="H510" s="42"/>
      <c r="I510" s="22"/>
      <c r="K510" s="43"/>
    </row>
    <row r="511" ht="22.5" customHeight="1">
      <c r="B511" s="19"/>
      <c r="C511" s="19"/>
      <c r="D511" s="100"/>
      <c r="F511" s="28"/>
      <c r="G511" s="90"/>
      <c r="H511" s="42"/>
      <c r="I511" s="22"/>
      <c r="K511" s="43"/>
    </row>
    <row r="512" ht="22.5" customHeight="1">
      <c r="B512" s="19"/>
      <c r="C512" s="19"/>
      <c r="D512" s="100"/>
      <c r="F512" s="28"/>
      <c r="G512" s="90"/>
      <c r="H512" s="42"/>
      <c r="I512" s="22"/>
      <c r="K512" s="43"/>
    </row>
    <row r="513" ht="22.5" customHeight="1">
      <c r="B513" s="19"/>
      <c r="C513" s="19"/>
      <c r="D513" s="100"/>
      <c r="F513" s="28"/>
      <c r="G513" s="90"/>
      <c r="H513" s="42"/>
      <c r="I513" s="22"/>
      <c r="K513" s="43"/>
    </row>
    <row r="514" ht="22.5" customHeight="1">
      <c r="B514" s="19"/>
      <c r="C514" s="19"/>
      <c r="D514" s="100"/>
      <c r="F514" s="28"/>
      <c r="G514" s="90"/>
      <c r="H514" s="42"/>
      <c r="I514" s="22"/>
      <c r="K514" s="43"/>
    </row>
    <row r="515" ht="22.5" customHeight="1">
      <c r="B515" s="19"/>
      <c r="C515" s="19"/>
      <c r="D515" s="100"/>
      <c r="F515" s="28"/>
      <c r="G515" s="90"/>
      <c r="H515" s="42"/>
      <c r="I515" s="22"/>
      <c r="K515" s="43"/>
    </row>
    <row r="516" ht="22.5" customHeight="1">
      <c r="B516" s="19"/>
      <c r="C516" s="19"/>
      <c r="D516" s="100"/>
      <c r="F516" s="28"/>
      <c r="G516" s="90"/>
      <c r="H516" s="42"/>
      <c r="I516" s="22"/>
      <c r="K516" s="43"/>
    </row>
    <row r="517" ht="22.5" customHeight="1">
      <c r="B517" s="19"/>
      <c r="C517" s="19"/>
      <c r="D517" s="100"/>
      <c r="F517" s="28"/>
      <c r="G517" s="90"/>
      <c r="H517" s="42"/>
      <c r="I517" s="22"/>
      <c r="K517" s="43"/>
    </row>
    <row r="518" ht="22.5" customHeight="1">
      <c r="B518" s="19"/>
      <c r="C518" s="19"/>
      <c r="D518" s="100"/>
      <c r="F518" s="28"/>
      <c r="G518" s="90"/>
      <c r="H518" s="42"/>
      <c r="I518" s="22"/>
      <c r="K518" s="43"/>
    </row>
    <row r="519" ht="22.5" customHeight="1">
      <c r="B519" s="19"/>
      <c r="C519" s="19"/>
      <c r="D519" s="100"/>
      <c r="F519" s="28"/>
      <c r="G519" s="90"/>
      <c r="H519" s="42"/>
      <c r="I519" s="22"/>
      <c r="K519" s="43"/>
    </row>
    <row r="520" ht="22.5" customHeight="1">
      <c r="B520" s="19"/>
      <c r="C520" s="19"/>
      <c r="D520" s="100"/>
      <c r="F520" s="28"/>
      <c r="G520" s="90"/>
      <c r="H520" s="42"/>
      <c r="I520" s="22"/>
      <c r="K520" s="43"/>
    </row>
    <row r="521" ht="22.5" customHeight="1">
      <c r="B521" s="19"/>
      <c r="C521" s="19"/>
      <c r="D521" s="100"/>
      <c r="F521" s="28"/>
      <c r="G521" s="90"/>
      <c r="H521" s="42"/>
      <c r="I521" s="22"/>
      <c r="K521" s="43"/>
    </row>
    <row r="522" ht="22.5" customHeight="1">
      <c r="B522" s="19"/>
      <c r="C522" s="19"/>
      <c r="D522" s="100"/>
      <c r="F522" s="28"/>
      <c r="G522" s="90"/>
      <c r="H522" s="42"/>
      <c r="I522" s="22"/>
      <c r="K522" s="43"/>
    </row>
    <row r="523" ht="22.5" customHeight="1">
      <c r="B523" s="19"/>
      <c r="C523" s="19"/>
      <c r="D523" s="100"/>
      <c r="F523" s="28"/>
      <c r="G523" s="90"/>
      <c r="H523" s="42"/>
      <c r="I523" s="22"/>
      <c r="K523" s="43"/>
    </row>
    <row r="524" ht="22.5" customHeight="1">
      <c r="B524" s="19"/>
      <c r="C524" s="19"/>
      <c r="D524" s="100"/>
      <c r="F524" s="28"/>
      <c r="G524" s="90"/>
      <c r="H524" s="42"/>
      <c r="I524" s="22"/>
      <c r="K524" s="43"/>
    </row>
    <row r="525" ht="22.5" customHeight="1">
      <c r="B525" s="19"/>
      <c r="C525" s="19"/>
      <c r="D525" s="100"/>
      <c r="F525" s="28"/>
      <c r="G525" s="90"/>
      <c r="H525" s="42"/>
      <c r="I525" s="22"/>
      <c r="K525" s="43"/>
    </row>
    <row r="526" ht="22.5" customHeight="1">
      <c r="B526" s="19"/>
      <c r="C526" s="19"/>
      <c r="D526" s="100"/>
      <c r="F526" s="28"/>
      <c r="G526" s="90"/>
      <c r="H526" s="42"/>
      <c r="I526" s="22"/>
      <c r="K526" s="43"/>
    </row>
    <row r="527" ht="22.5" customHeight="1">
      <c r="B527" s="19"/>
      <c r="C527" s="19"/>
      <c r="D527" s="100"/>
      <c r="F527" s="28"/>
      <c r="G527" s="90"/>
      <c r="H527" s="42"/>
      <c r="I527" s="22"/>
      <c r="K527" s="43"/>
    </row>
    <row r="528" ht="22.5" customHeight="1">
      <c r="B528" s="19"/>
      <c r="C528" s="19"/>
      <c r="D528" s="100"/>
      <c r="F528" s="28"/>
      <c r="G528" s="90"/>
      <c r="H528" s="42"/>
      <c r="I528" s="22"/>
      <c r="K528" s="43"/>
    </row>
    <row r="529" ht="22.5" customHeight="1">
      <c r="B529" s="19"/>
      <c r="C529" s="19"/>
      <c r="D529" s="100"/>
      <c r="F529" s="28"/>
      <c r="G529" s="90"/>
      <c r="H529" s="42"/>
      <c r="I529" s="22"/>
      <c r="K529" s="43"/>
    </row>
    <row r="530" ht="22.5" customHeight="1">
      <c r="B530" s="19"/>
      <c r="C530" s="19"/>
      <c r="D530" s="100"/>
      <c r="F530" s="28"/>
      <c r="G530" s="90"/>
      <c r="H530" s="42"/>
      <c r="I530" s="22"/>
      <c r="K530" s="43"/>
    </row>
    <row r="531" ht="22.5" customHeight="1">
      <c r="B531" s="19"/>
      <c r="C531" s="19"/>
      <c r="D531" s="100"/>
      <c r="F531" s="28"/>
      <c r="G531" s="90"/>
      <c r="H531" s="42"/>
      <c r="I531" s="22"/>
      <c r="K531" s="43"/>
    </row>
    <row r="532" ht="22.5" customHeight="1">
      <c r="B532" s="19"/>
      <c r="C532" s="19"/>
      <c r="D532" s="100"/>
      <c r="F532" s="28"/>
      <c r="G532" s="90"/>
      <c r="H532" s="42"/>
      <c r="I532" s="22"/>
      <c r="K532" s="43"/>
    </row>
    <row r="533" ht="22.5" customHeight="1">
      <c r="B533" s="19"/>
      <c r="C533" s="19"/>
      <c r="D533" s="100"/>
      <c r="F533" s="28"/>
      <c r="G533" s="90"/>
      <c r="H533" s="42"/>
      <c r="I533" s="22"/>
      <c r="K533" s="43"/>
    </row>
    <row r="534" ht="22.5" customHeight="1">
      <c r="B534" s="19"/>
      <c r="C534" s="19"/>
      <c r="D534" s="100"/>
      <c r="F534" s="28"/>
      <c r="G534" s="90"/>
      <c r="H534" s="42"/>
      <c r="I534" s="22"/>
      <c r="K534" s="43"/>
    </row>
    <row r="535" ht="22.5" customHeight="1">
      <c r="B535" s="19"/>
      <c r="C535" s="19"/>
      <c r="D535" s="100"/>
      <c r="F535" s="28"/>
      <c r="G535" s="90"/>
      <c r="H535" s="42"/>
      <c r="I535" s="22"/>
      <c r="K535" s="43"/>
    </row>
    <row r="536" ht="22.5" customHeight="1">
      <c r="B536" s="19"/>
      <c r="C536" s="19"/>
      <c r="D536" s="100"/>
      <c r="F536" s="28"/>
      <c r="G536" s="90"/>
      <c r="H536" s="42"/>
      <c r="I536" s="22"/>
      <c r="K536" s="43"/>
    </row>
    <row r="537" ht="22.5" customHeight="1">
      <c r="B537" s="19"/>
      <c r="C537" s="19"/>
      <c r="D537" s="100"/>
      <c r="F537" s="28"/>
      <c r="G537" s="90"/>
      <c r="H537" s="42"/>
      <c r="I537" s="22"/>
      <c r="K537" s="43"/>
    </row>
    <row r="538" ht="22.5" customHeight="1">
      <c r="B538" s="19"/>
      <c r="C538" s="19"/>
      <c r="D538" s="100"/>
      <c r="F538" s="28"/>
      <c r="G538" s="90"/>
      <c r="H538" s="42"/>
      <c r="I538" s="22"/>
      <c r="K538" s="43"/>
    </row>
    <row r="539" ht="22.5" customHeight="1">
      <c r="B539" s="19"/>
      <c r="C539" s="19"/>
      <c r="D539" s="100"/>
      <c r="F539" s="28"/>
      <c r="G539" s="90"/>
      <c r="H539" s="42"/>
      <c r="I539" s="22"/>
      <c r="K539" s="43"/>
    </row>
    <row r="540" ht="22.5" customHeight="1">
      <c r="B540" s="19"/>
      <c r="C540" s="19"/>
      <c r="D540" s="100"/>
      <c r="F540" s="28"/>
      <c r="G540" s="90"/>
      <c r="H540" s="42"/>
      <c r="I540" s="22"/>
      <c r="K540" s="43"/>
    </row>
    <row r="541" ht="22.5" customHeight="1">
      <c r="B541" s="19"/>
      <c r="C541" s="19"/>
      <c r="D541" s="100"/>
      <c r="F541" s="28"/>
      <c r="G541" s="90"/>
      <c r="H541" s="42"/>
      <c r="I541" s="22"/>
      <c r="K541" s="43"/>
    </row>
    <row r="542" ht="22.5" customHeight="1">
      <c r="B542" s="19"/>
      <c r="C542" s="19"/>
      <c r="D542" s="100"/>
      <c r="F542" s="28"/>
      <c r="G542" s="90"/>
      <c r="H542" s="42"/>
      <c r="I542" s="22"/>
      <c r="K542" s="43"/>
    </row>
    <row r="543" ht="22.5" customHeight="1">
      <c r="B543" s="19"/>
      <c r="C543" s="19"/>
      <c r="D543" s="100"/>
      <c r="F543" s="28"/>
      <c r="G543" s="90"/>
      <c r="H543" s="42"/>
      <c r="I543" s="22"/>
      <c r="K543" s="43"/>
    </row>
    <row r="544" ht="22.5" customHeight="1">
      <c r="B544" s="19"/>
      <c r="C544" s="19"/>
      <c r="D544" s="100"/>
      <c r="F544" s="28"/>
      <c r="G544" s="90"/>
      <c r="H544" s="42"/>
      <c r="I544" s="22"/>
      <c r="K544" s="43"/>
    </row>
    <row r="545" ht="22.5" customHeight="1">
      <c r="B545" s="19"/>
      <c r="C545" s="19"/>
      <c r="D545" s="100"/>
      <c r="F545" s="28"/>
      <c r="G545" s="90"/>
      <c r="H545" s="42"/>
      <c r="I545" s="22"/>
      <c r="K545" s="43"/>
    </row>
    <row r="546" ht="22.5" customHeight="1">
      <c r="B546" s="19"/>
      <c r="C546" s="19"/>
      <c r="D546" s="100"/>
      <c r="F546" s="28"/>
      <c r="G546" s="90"/>
      <c r="H546" s="42"/>
      <c r="I546" s="22"/>
      <c r="K546" s="43"/>
    </row>
    <row r="547" ht="22.5" customHeight="1">
      <c r="B547" s="19"/>
      <c r="C547" s="19"/>
      <c r="D547" s="100"/>
      <c r="F547" s="28"/>
      <c r="G547" s="90"/>
      <c r="H547" s="42"/>
      <c r="I547" s="22"/>
      <c r="K547" s="43"/>
    </row>
    <row r="548" ht="22.5" customHeight="1">
      <c r="B548" s="19"/>
      <c r="C548" s="19"/>
      <c r="D548" s="100"/>
      <c r="F548" s="28"/>
      <c r="G548" s="90"/>
      <c r="H548" s="42"/>
      <c r="I548" s="22"/>
      <c r="K548" s="43"/>
    </row>
    <row r="549" ht="22.5" customHeight="1">
      <c r="B549" s="19"/>
      <c r="C549" s="19"/>
      <c r="D549" s="100"/>
      <c r="F549" s="28"/>
      <c r="G549" s="90"/>
      <c r="H549" s="42"/>
      <c r="I549" s="22"/>
      <c r="K549" s="43"/>
    </row>
    <row r="550" ht="22.5" customHeight="1">
      <c r="B550" s="19"/>
      <c r="C550" s="19"/>
      <c r="D550" s="100"/>
      <c r="F550" s="28"/>
      <c r="G550" s="90"/>
      <c r="H550" s="42"/>
      <c r="I550" s="22"/>
      <c r="K550" s="43"/>
    </row>
    <row r="551" ht="22.5" customHeight="1">
      <c r="B551" s="19"/>
      <c r="C551" s="19"/>
      <c r="D551" s="100"/>
      <c r="F551" s="28"/>
      <c r="G551" s="90"/>
      <c r="H551" s="42"/>
      <c r="I551" s="22"/>
      <c r="K551" s="43"/>
    </row>
    <row r="552" ht="22.5" customHeight="1">
      <c r="B552" s="19"/>
      <c r="C552" s="19"/>
      <c r="D552" s="100"/>
      <c r="F552" s="28"/>
      <c r="G552" s="90"/>
      <c r="H552" s="42"/>
      <c r="I552" s="22"/>
      <c r="K552" s="43"/>
    </row>
    <row r="553" ht="22.5" customHeight="1">
      <c r="B553" s="19"/>
      <c r="C553" s="19"/>
      <c r="D553" s="100"/>
      <c r="F553" s="28"/>
      <c r="G553" s="90"/>
      <c r="H553" s="42"/>
      <c r="I553" s="22"/>
      <c r="K553" s="43"/>
    </row>
    <row r="554" ht="22.5" customHeight="1">
      <c r="B554" s="19"/>
      <c r="C554" s="19"/>
      <c r="D554" s="100"/>
      <c r="F554" s="28"/>
      <c r="G554" s="90"/>
      <c r="H554" s="42"/>
      <c r="I554" s="22"/>
      <c r="K554" s="43"/>
    </row>
    <row r="555" ht="22.5" customHeight="1">
      <c r="B555" s="19"/>
      <c r="C555" s="19"/>
      <c r="D555" s="100"/>
      <c r="F555" s="28"/>
      <c r="G555" s="90"/>
      <c r="H555" s="42"/>
      <c r="I555" s="22"/>
      <c r="K555" s="43"/>
    </row>
    <row r="556" ht="22.5" customHeight="1">
      <c r="B556" s="19"/>
      <c r="C556" s="19"/>
      <c r="D556" s="100"/>
      <c r="F556" s="28"/>
      <c r="G556" s="90"/>
      <c r="H556" s="42"/>
      <c r="I556" s="22"/>
      <c r="K556" s="43"/>
    </row>
    <row r="557" ht="22.5" customHeight="1">
      <c r="B557" s="19"/>
      <c r="C557" s="19"/>
      <c r="D557" s="100"/>
      <c r="F557" s="28"/>
      <c r="G557" s="90"/>
      <c r="H557" s="42"/>
      <c r="I557" s="22"/>
      <c r="K557" s="43"/>
    </row>
    <row r="558" ht="22.5" customHeight="1">
      <c r="B558" s="19"/>
      <c r="C558" s="19"/>
      <c r="D558" s="100"/>
      <c r="F558" s="28"/>
      <c r="G558" s="90"/>
      <c r="H558" s="42"/>
      <c r="I558" s="22"/>
      <c r="K558" s="43"/>
    </row>
    <row r="559" ht="22.5" customHeight="1">
      <c r="B559" s="19"/>
      <c r="C559" s="19"/>
      <c r="D559" s="100"/>
      <c r="F559" s="28"/>
      <c r="G559" s="90"/>
      <c r="H559" s="42"/>
      <c r="I559" s="22"/>
      <c r="K559" s="43"/>
    </row>
    <row r="560" ht="22.5" customHeight="1">
      <c r="B560" s="19"/>
      <c r="C560" s="19"/>
      <c r="D560" s="100"/>
      <c r="F560" s="28"/>
      <c r="G560" s="90"/>
      <c r="H560" s="42"/>
      <c r="I560" s="22"/>
      <c r="K560" s="43"/>
    </row>
    <row r="561" ht="22.5" customHeight="1">
      <c r="B561" s="19"/>
      <c r="C561" s="19"/>
      <c r="D561" s="100"/>
      <c r="F561" s="28"/>
      <c r="G561" s="90"/>
      <c r="H561" s="42"/>
      <c r="I561" s="22"/>
      <c r="K561" s="43"/>
    </row>
    <row r="562" ht="22.5" customHeight="1">
      <c r="B562" s="19"/>
      <c r="C562" s="19"/>
      <c r="D562" s="100"/>
      <c r="F562" s="28"/>
      <c r="G562" s="90"/>
      <c r="H562" s="42"/>
      <c r="I562" s="22"/>
      <c r="K562" s="43"/>
    </row>
    <row r="563" ht="22.5" customHeight="1">
      <c r="B563" s="19"/>
      <c r="C563" s="19"/>
      <c r="D563" s="100"/>
      <c r="F563" s="28"/>
      <c r="G563" s="90"/>
      <c r="H563" s="42"/>
      <c r="I563" s="22"/>
      <c r="K563" s="43"/>
    </row>
    <row r="564" ht="22.5" customHeight="1">
      <c r="B564" s="19"/>
      <c r="C564" s="19"/>
      <c r="D564" s="100"/>
      <c r="F564" s="28"/>
      <c r="G564" s="90"/>
      <c r="H564" s="42"/>
      <c r="I564" s="22"/>
      <c r="K564" s="43"/>
    </row>
    <row r="565" ht="22.5" customHeight="1">
      <c r="B565" s="19"/>
      <c r="C565" s="19"/>
      <c r="D565" s="100"/>
      <c r="F565" s="28"/>
      <c r="G565" s="90"/>
      <c r="H565" s="42"/>
      <c r="I565" s="22"/>
      <c r="K565" s="43"/>
    </row>
    <row r="566" ht="22.5" customHeight="1">
      <c r="B566" s="19"/>
      <c r="C566" s="19"/>
      <c r="D566" s="100"/>
      <c r="F566" s="28"/>
      <c r="G566" s="90"/>
      <c r="H566" s="42"/>
      <c r="I566" s="22"/>
      <c r="K566" s="43"/>
    </row>
    <row r="567" ht="22.5" customHeight="1">
      <c r="B567" s="19"/>
      <c r="C567" s="19"/>
      <c r="D567" s="100"/>
      <c r="F567" s="28"/>
      <c r="G567" s="90"/>
      <c r="H567" s="42"/>
      <c r="I567" s="22"/>
      <c r="K567" s="43"/>
    </row>
    <row r="568" ht="22.5" customHeight="1">
      <c r="B568" s="19"/>
      <c r="C568" s="19"/>
      <c r="D568" s="100"/>
      <c r="F568" s="28"/>
      <c r="G568" s="90"/>
      <c r="H568" s="42"/>
      <c r="I568" s="22"/>
      <c r="K568" s="43"/>
    </row>
    <row r="569" ht="22.5" customHeight="1">
      <c r="B569" s="19"/>
      <c r="C569" s="19"/>
      <c r="D569" s="100"/>
      <c r="F569" s="28"/>
      <c r="G569" s="90"/>
      <c r="H569" s="42"/>
      <c r="I569" s="22"/>
      <c r="K569" s="43"/>
    </row>
    <row r="570" ht="22.5" customHeight="1">
      <c r="B570" s="19"/>
      <c r="C570" s="19"/>
      <c r="D570" s="100"/>
      <c r="F570" s="28"/>
      <c r="G570" s="90"/>
      <c r="H570" s="42"/>
      <c r="I570" s="22"/>
      <c r="K570" s="43"/>
    </row>
    <row r="571" ht="22.5" customHeight="1">
      <c r="B571" s="19"/>
      <c r="C571" s="19"/>
      <c r="D571" s="100"/>
      <c r="F571" s="28"/>
      <c r="G571" s="90"/>
      <c r="H571" s="42"/>
      <c r="I571" s="22"/>
      <c r="K571" s="43"/>
    </row>
    <row r="572" ht="22.5" customHeight="1">
      <c r="B572" s="19"/>
      <c r="C572" s="19"/>
      <c r="D572" s="100"/>
      <c r="F572" s="28"/>
      <c r="G572" s="90"/>
      <c r="H572" s="42"/>
      <c r="I572" s="22"/>
      <c r="K572" s="43"/>
    </row>
    <row r="573" ht="22.5" customHeight="1">
      <c r="B573" s="19"/>
      <c r="C573" s="19"/>
      <c r="D573" s="100"/>
      <c r="F573" s="28"/>
      <c r="G573" s="90"/>
      <c r="H573" s="42"/>
      <c r="I573" s="22"/>
      <c r="K573" s="43"/>
    </row>
    <row r="574" ht="22.5" customHeight="1">
      <c r="B574" s="19"/>
      <c r="C574" s="19"/>
      <c r="D574" s="100"/>
      <c r="F574" s="28"/>
      <c r="G574" s="90"/>
      <c r="H574" s="42"/>
      <c r="I574" s="22"/>
      <c r="K574" s="43"/>
    </row>
    <row r="575" ht="22.5" customHeight="1">
      <c r="B575" s="19"/>
      <c r="C575" s="19"/>
      <c r="D575" s="100"/>
      <c r="F575" s="28"/>
      <c r="G575" s="90"/>
      <c r="H575" s="42"/>
      <c r="I575" s="22"/>
      <c r="K575" s="43"/>
    </row>
    <row r="576" ht="22.5" customHeight="1">
      <c r="B576" s="19"/>
      <c r="C576" s="19"/>
      <c r="D576" s="100"/>
      <c r="F576" s="28"/>
      <c r="G576" s="90"/>
      <c r="H576" s="42"/>
      <c r="I576" s="22"/>
      <c r="K576" s="43"/>
    </row>
    <row r="577" ht="22.5" customHeight="1">
      <c r="B577" s="19"/>
      <c r="C577" s="19"/>
      <c r="D577" s="100"/>
      <c r="F577" s="28"/>
      <c r="G577" s="90"/>
      <c r="H577" s="42"/>
      <c r="I577" s="22"/>
      <c r="K577" s="43"/>
    </row>
    <row r="578" ht="22.5" customHeight="1">
      <c r="B578" s="19"/>
      <c r="C578" s="19"/>
      <c r="D578" s="100"/>
      <c r="F578" s="28"/>
      <c r="G578" s="90"/>
      <c r="H578" s="42"/>
      <c r="I578" s="22"/>
      <c r="K578" s="43"/>
    </row>
    <row r="579" ht="22.5" customHeight="1">
      <c r="B579" s="19"/>
      <c r="C579" s="19"/>
      <c r="D579" s="100"/>
      <c r="F579" s="28"/>
      <c r="G579" s="90"/>
      <c r="H579" s="42"/>
      <c r="I579" s="22"/>
      <c r="K579" s="43"/>
    </row>
    <row r="580" ht="22.5" customHeight="1">
      <c r="B580" s="19"/>
      <c r="C580" s="19"/>
      <c r="D580" s="100"/>
      <c r="F580" s="28"/>
      <c r="G580" s="90"/>
      <c r="H580" s="42"/>
      <c r="I580" s="22"/>
      <c r="K580" s="43"/>
    </row>
    <row r="581" ht="22.5" customHeight="1">
      <c r="B581" s="19"/>
      <c r="C581" s="19"/>
      <c r="D581" s="100"/>
      <c r="F581" s="28"/>
      <c r="G581" s="90"/>
      <c r="H581" s="42"/>
      <c r="I581" s="22"/>
      <c r="K581" s="43"/>
    </row>
    <row r="582" ht="22.5" customHeight="1">
      <c r="B582" s="19"/>
      <c r="C582" s="19"/>
      <c r="D582" s="100"/>
      <c r="F582" s="28"/>
      <c r="G582" s="90"/>
      <c r="H582" s="42"/>
      <c r="I582" s="22"/>
      <c r="K582" s="43"/>
    </row>
    <row r="583" ht="22.5" customHeight="1">
      <c r="B583" s="19"/>
      <c r="C583" s="19"/>
      <c r="D583" s="100"/>
      <c r="F583" s="28"/>
      <c r="G583" s="90"/>
      <c r="H583" s="42"/>
      <c r="I583" s="22"/>
      <c r="K583" s="43"/>
    </row>
    <row r="584" ht="22.5" customHeight="1">
      <c r="B584" s="19"/>
      <c r="C584" s="19"/>
      <c r="D584" s="100"/>
      <c r="F584" s="28"/>
      <c r="G584" s="90"/>
      <c r="H584" s="42"/>
      <c r="I584" s="22"/>
      <c r="K584" s="43"/>
    </row>
    <row r="585" ht="22.5" customHeight="1">
      <c r="B585" s="19"/>
      <c r="C585" s="19"/>
      <c r="D585" s="100"/>
      <c r="F585" s="28"/>
      <c r="G585" s="90"/>
      <c r="H585" s="42"/>
      <c r="I585" s="22"/>
      <c r="K585" s="43"/>
    </row>
    <row r="586" ht="22.5" customHeight="1">
      <c r="B586" s="19"/>
      <c r="C586" s="19"/>
      <c r="D586" s="100"/>
      <c r="F586" s="28"/>
      <c r="G586" s="90"/>
      <c r="H586" s="42"/>
      <c r="I586" s="22"/>
      <c r="K586" s="43"/>
    </row>
    <row r="587" ht="22.5" customHeight="1">
      <c r="B587" s="19"/>
      <c r="C587" s="19"/>
      <c r="D587" s="100"/>
      <c r="F587" s="28"/>
      <c r="G587" s="90"/>
      <c r="H587" s="42"/>
      <c r="I587" s="22"/>
      <c r="K587" s="43"/>
    </row>
    <row r="588" ht="22.5" customHeight="1">
      <c r="B588" s="19"/>
      <c r="C588" s="19"/>
      <c r="D588" s="100"/>
      <c r="F588" s="28"/>
      <c r="G588" s="90"/>
      <c r="H588" s="42"/>
      <c r="I588" s="22"/>
      <c r="K588" s="43"/>
    </row>
    <row r="589" ht="22.5" customHeight="1">
      <c r="B589" s="19"/>
      <c r="C589" s="19"/>
      <c r="D589" s="100"/>
      <c r="F589" s="28"/>
      <c r="G589" s="90"/>
      <c r="H589" s="42"/>
      <c r="I589" s="22"/>
      <c r="K589" s="43"/>
    </row>
    <row r="590" ht="22.5" customHeight="1">
      <c r="B590" s="19"/>
      <c r="C590" s="19"/>
      <c r="D590" s="100"/>
      <c r="F590" s="28"/>
      <c r="G590" s="90"/>
      <c r="H590" s="42"/>
      <c r="I590" s="22"/>
      <c r="K590" s="43"/>
    </row>
    <row r="591" ht="22.5" customHeight="1">
      <c r="B591" s="19"/>
      <c r="C591" s="19"/>
      <c r="D591" s="100"/>
      <c r="F591" s="28"/>
      <c r="G591" s="90"/>
      <c r="H591" s="42"/>
      <c r="I591" s="22"/>
      <c r="K591" s="43"/>
    </row>
    <row r="592" ht="22.5" customHeight="1">
      <c r="B592" s="19"/>
      <c r="C592" s="19"/>
      <c r="D592" s="100"/>
      <c r="F592" s="28"/>
      <c r="G592" s="90"/>
      <c r="H592" s="42"/>
      <c r="I592" s="22"/>
      <c r="K592" s="43"/>
    </row>
    <row r="593" ht="22.5" customHeight="1">
      <c r="B593" s="19"/>
      <c r="C593" s="19"/>
      <c r="D593" s="100"/>
      <c r="F593" s="28"/>
      <c r="G593" s="90"/>
      <c r="H593" s="42"/>
      <c r="I593" s="22"/>
      <c r="K593" s="43"/>
    </row>
    <row r="594" ht="22.5" customHeight="1">
      <c r="B594" s="19"/>
      <c r="C594" s="19"/>
      <c r="D594" s="100"/>
      <c r="F594" s="28"/>
      <c r="G594" s="90"/>
      <c r="H594" s="42"/>
      <c r="I594" s="22"/>
      <c r="K594" s="43"/>
    </row>
  </sheetData>
  <dataValidations>
    <dataValidation type="list" allowBlank="1" showInputMessage="1" prompt="Cliquez ici et saisissez une valeur dans la liste des éléments" sqref="I2:I594">
      <formula1>"Abritel,Airbnb,Chèque,Espèces,HomeExchange,Virement,A définir,Gites de France"</formula1>
    </dataValidation>
    <dataValidation type="custom" allowBlank="1" showDropDown="1" sqref="B2:C594">
      <formula1>OR(NOT(ISERROR(DATEVALUE(B2))), AND(ISNUMBER(B2), LEFT(CELL("format", B2))="D"))</formula1>
    </dataValidation>
    <dataValidation type="custom" allowBlank="1" showDropDown="1" sqref="G2:H594">
      <formula1>AND(ISNUMBER(G2),(NOT(OR(NOT(ISERROR(DATEVALUE(G2))), AND(ISNUMBER(G2), LEFT(CELL("format", G2))="D")))))</formula1>
    </dataValidation>
    <dataValidation allowBlank="1" showDropDown="1" sqref="K2:K59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11.13"/>
    <col customWidth="1" min="4" max="4" width="13.25"/>
    <col customWidth="1" min="5" max="5" width="11.88"/>
    <col customWidth="1" min="6" max="6" width="13.63"/>
    <col customWidth="1" min="7" max="7" width="13.0"/>
    <col customWidth="1" min="8" max="8" width="15.0"/>
    <col customWidth="1" min="9" max="9" width="15.75"/>
    <col customWidth="1" min="10" max="10" width="90.88"/>
    <col customWidth="1" min="11" max="11" width="25.0"/>
    <col customWidth="1" min="12" max="19" width="13.0"/>
    <col customWidth="1" min="20" max="25" width="13.88"/>
  </cols>
  <sheetData>
    <row r="1" ht="22.5" customHeight="1">
      <c r="A1" s="7" t="s">
        <v>201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101" t="s">
        <v>10</v>
      </c>
      <c r="L1" s="85" t="s">
        <v>20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202</v>
      </c>
      <c r="W1" s="9" t="s">
        <v>21</v>
      </c>
      <c r="X1" s="9" t="s">
        <v>22</v>
      </c>
      <c r="Y1" s="9" t="s">
        <v>23</v>
      </c>
    </row>
    <row r="2" ht="22.5" customHeight="1">
      <c r="A2" s="10" t="s">
        <v>312</v>
      </c>
      <c r="B2" s="11">
        <v>45658.0</v>
      </c>
      <c r="C2" s="11">
        <v>45660.0</v>
      </c>
      <c r="D2" s="102" t="str">
        <f t="shared" ref="D2:D6" si="1">TEXT(B2 ,"mm (mmmm)")</f>
        <v>01 (janvier)</v>
      </c>
      <c r="E2" s="13">
        <f t="shared" ref="E2:E7" si="2">C2-B2</f>
        <v>2</v>
      </c>
      <c r="F2" s="14">
        <v>4.0</v>
      </c>
      <c r="G2" s="15">
        <v>300.0</v>
      </c>
      <c r="H2" s="103">
        <f t="shared" ref="H2:H6" si="3">G2*E2</f>
        <v>600</v>
      </c>
      <c r="I2" s="104" t="s">
        <v>33</v>
      </c>
      <c r="K2" s="43"/>
    </row>
    <row r="3" ht="22.5" customHeight="1">
      <c r="A3" s="10" t="s">
        <v>313</v>
      </c>
      <c r="B3" s="11">
        <v>45660.0</v>
      </c>
      <c r="C3" s="11">
        <v>45662.0</v>
      </c>
      <c r="D3" s="102" t="str">
        <f t="shared" si="1"/>
        <v>01 (janvier)</v>
      </c>
      <c r="E3" s="13">
        <f t="shared" si="2"/>
        <v>2</v>
      </c>
      <c r="F3" s="14">
        <v>13.0</v>
      </c>
      <c r="G3" s="15">
        <v>306.0</v>
      </c>
      <c r="H3" s="103">
        <f t="shared" si="3"/>
        <v>612</v>
      </c>
      <c r="I3" s="104" t="s">
        <v>25</v>
      </c>
      <c r="K3" s="43"/>
    </row>
    <row r="4" ht="22.5" customHeight="1">
      <c r="A4" s="10" t="s">
        <v>314</v>
      </c>
      <c r="B4" s="11">
        <v>45667.0</v>
      </c>
      <c r="C4" s="11">
        <v>45669.0</v>
      </c>
      <c r="D4" s="102" t="str">
        <f t="shared" si="1"/>
        <v>01 (janvier)</v>
      </c>
      <c r="E4" s="13">
        <f t="shared" si="2"/>
        <v>2</v>
      </c>
      <c r="F4" s="14">
        <v>4.0</v>
      </c>
      <c r="G4" s="15">
        <v>300.0</v>
      </c>
      <c r="H4" s="103">
        <f t="shared" si="3"/>
        <v>600</v>
      </c>
      <c r="I4" s="104" t="s">
        <v>33</v>
      </c>
      <c r="K4" s="43"/>
    </row>
    <row r="5" ht="22.5" customHeight="1">
      <c r="A5" s="10" t="s">
        <v>315</v>
      </c>
      <c r="B5" s="11">
        <v>45672.0</v>
      </c>
      <c r="C5" s="11">
        <v>45676.0</v>
      </c>
      <c r="D5" s="102" t="str">
        <f t="shared" si="1"/>
        <v>01 (janvier)</v>
      </c>
      <c r="E5" s="13">
        <f t="shared" si="2"/>
        <v>4</v>
      </c>
      <c r="F5" s="14">
        <v>4.0</v>
      </c>
      <c r="G5" s="15">
        <v>315.0</v>
      </c>
      <c r="H5" s="103">
        <f t="shared" si="3"/>
        <v>1260</v>
      </c>
      <c r="I5" s="104" t="s">
        <v>27</v>
      </c>
      <c r="K5" s="43"/>
    </row>
    <row r="6" ht="22.5" customHeight="1">
      <c r="A6" s="10" t="s">
        <v>316</v>
      </c>
      <c r="B6" s="11">
        <v>45681.0</v>
      </c>
      <c r="C6" s="11">
        <v>45683.0</v>
      </c>
      <c r="D6" s="102" t="str">
        <f t="shared" si="1"/>
        <v>01 (janvier)</v>
      </c>
      <c r="E6" s="13">
        <f t="shared" si="2"/>
        <v>2</v>
      </c>
      <c r="F6" s="14">
        <v>15.0</v>
      </c>
      <c r="G6" s="15">
        <v>306.0</v>
      </c>
      <c r="H6" s="103">
        <f t="shared" si="3"/>
        <v>612</v>
      </c>
      <c r="I6" s="104" t="s">
        <v>25</v>
      </c>
      <c r="K6" s="43"/>
    </row>
    <row r="7" ht="22.5" customHeight="1">
      <c r="A7" s="34" t="s">
        <v>317</v>
      </c>
      <c r="B7" s="35">
        <v>45688.0</v>
      </c>
      <c r="C7" s="35">
        <v>45689.0</v>
      </c>
      <c r="D7" s="105">
        <f>B7</f>
        <v>45688</v>
      </c>
      <c r="E7" s="39">
        <f t="shared" si="2"/>
        <v>1</v>
      </c>
      <c r="F7" s="106">
        <v>10.0</v>
      </c>
      <c r="G7" s="34">
        <v>246.0</v>
      </c>
      <c r="H7" s="54">
        <v>492.0</v>
      </c>
      <c r="I7" s="40" t="s">
        <v>25</v>
      </c>
      <c r="J7" s="39"/>
      <c r="K7" s="43"/>
      <c r="O7" s="10" t="s">
        <v>99</v>
      </c>
    </row>
    <row r="8" ht="22.5" customHeight="1">
      <c r="A8" s="28"/>
      <c r="B8" s="19"/>
      <c r="C8" s="19"/>
      <c r="G8" s="28"/>
      <c r="H8" s="42"/>
      <c r="I8" s="22"/>
      <c r="K8" s="43"/>
    </row>
    <row r="9" ht="22.5" customHeight="1">
      <c r="A9" s="34" t="s">
        <v>317</v>
      </c>
      <c r="B9" s="35">
        <v>45689.0</v>
      </c>
      <c r="C9" s="35">
        <v>45690.0</v>
      </c>
      <c r="D9" s="105">
        <f>B9</f>
        <v>45689</v>
      </c>
      <c r="E9" s="39">
        <f t="shared" ref="E9:E14" si="4">C9-B9</f>
        <v>1</v>
      </c>
      <c r="F9" s="106">
        <v>10.0</v>
      </c>
      <c r="G9" s="34">
        <v>246.0</v>
      </c>
      <c r="H9" s="54">
        <v>492.0</v>
      </c>
      <c r="I9" s="40" t="s">
        <v>25</v>
      </c>
      <c r="J9" s="39"/>
      <c r="K9" s="43"/>
      <c r="O9" s="10" t="s">
        <v>99</v>
      </c>
    </row>
    <row r="10" ht="22.5" customHeight="1">
      <c r="A10" s="10" t="s">
        <v>318</v>
      </c>
      <c r="B10" s="11">
        <v>45695.0</v>
      </c>
      <c r="C10" s="11">
        <v>45697.0</v>
      </c>
      <c r="D10" s="102" t="str">
        <f t="shared" ref="D10:D13" si="5">TEXT(B10 ,"mm (mmmm)")</f>
        <v>02 (février)</v>
      </c>
      <c r="E10" s="13">
        <f t="shared" si="4"/>
        <v>2</v>
      </c>
      <c r="F10" s="14">
        <v>9.0</v>
      </c>
      <c r="G10" s="15">
        <v>301.0</v>
      </c>
      <c r="H10" s="103">
        <f t="shared" ref="H10:H14" si="6">G10*E10</f>
        <v>602</v>
      </c>
      <c r="I10" s="104" t="s">
        <v>25</v>
      </c>
      <c r="K10" s="43"/>
    </row>
    <row r="11" ht="22.5" customHeight="1">
      <c r="A11" s="10" t="s">
        <v>319</v>
      </c>
      <c r="B11" s="11">
        <v>45702.0</v>
      </c>
      <c r="C11" s="11">
        <v>45704.0</v>
      </c>
      <c r="D11" s="102" t="str">
        <f t="shared" si="5"/>
        <v>02 (février)</v>
      </c>
      <c r="E11" s="13">
        <f t="shared" si="4"/>
        <v>2</v>
      </c>
      <c r="F11" s="14">
        <v>14.0</v>
      </c>
      <c r="G11" s="15">
        <v>272.0</v>
      </c>
      <c r="H11" s="103">
        <f t="shared" si="6"/>
        <v>544</v>
      </c>
      <c r="I11" s="104" t="s">
        <v>25</v>
      </c>
      <c r="K11" s="43"/>
    </row>
    <row r="12" ht="22.5" customHeight="1">
      <c r="A12" s="10" t="s">
        <v>320</v>
      </c>
      <c r="B12" s="11">
        <v>45709.0</v>
      </c>
      <c r="C12" s="11">
        <v>45711.0</v>
      </c>
      <c r="D12" s="102" t="str">
        <f t="shared" si="5"/>
        <v>02 (février)</v>
      </c>
      <c r="E12" s="13">
        <f t="shared" si="4"/>
        <v>2</v>
      </c>
      <c r="F12" s="14">
        <v>8.0</v>
      </c>
      <c r="G12" s="15">
        <v>306.0</v>
      </c>
      <c r="H12" s="103">
        <f t="shared" si="6"/>
        <v>612</v>
      </c>
      <c r="I12" s="104" t="s">
        <v>25</v>
      </c>
      <c r="K12" s="43"/>
    </row>
    <row r="13" ht="22.5" customHeight="1">
      <c r="A13" s="10" t="s">
        <v>236</v>
      </c>
      <c r="B13" s="11">
        <v>45713.0</v>
      </c>
      <c r="C13" s="11">
        <v>45714.0</v>
      </c>
      <c r="D13" s="102" t="str">
        <f t="shared" si="5"/>
        <v>02 (février)</v>
      </c>
      <c r="E13" s="13">
        <f t="shared" si="4"/>
        <v>1</v>
      </c>
      <c r="F13" s="14">
        <v>2.0</v>
      </c>
      <c r="G13" s="15">
        <v>168.0</v>
      </c>
      <c r="H13" s="103">
        <f t="shared" si="6"/>
        <v>168</v>
      </c>
      <c r="I13" s="104" t="s">
        <v>25</v>
      </c>
      <c r="K13" s="43"/>
    </row>
    <row r="14" ht="22.5" customHeight="1">
      <c r="A14" s="34" t="s">
        <v>321</v>
      </c>
      <c r="B14" s="35">
        <v>45716.0</v>
      </c>
      <c r="C14" s="35">
        <v>45717.0</v>
      </c>
      <c r="D14" s="105">
        <f>B14</f>
        <v>45716</v>
      </c>
      <c r="E14" s="39">
        <f t="shared" si="4"/>
        <v>1</v>
      </c>
      <c r="F14" s="106">
        <v>10.0</v>
      </c>
      <c r="G14" s="106">
        <v>301.0</v>
      </c>
      <c r="H14" s="54">
        <f t="shared" si="6"/>
        <v>301</v>
      </c>
      <c r="I14" s="40" t="s">
        <v>109</v>
      </c>
      <c r="J14" s="39"/>
      <c r="K14" s="43"/>
      <c r="O14" s="10" t="s">
        <v>99</v>
      </c>
    </row>
    <row r="15" ht="22.5" customHeight="1">
      <c r="A15" s="28"/>
      <c r="B15" s="19"/>
      <c r="C15" s="19"/>
      <c r="H15" s="42"/>
      <c r="I15" s="22"/>
      <c r="K15" s="43"/>
    </row>
    <row r="16" ht="22.5" customHeight="1">
      <c r="A16" s="34" t="s">
        <v>321</v>
      </c>
      <c r="B16" s="35">
        <v>45717.0</v>
      </c>
      <c r="C16" s="35">
        <v>45718.0</v>
      </c>
      <c r="D16" s="105">
        <f>B16</f>
        <v>45717</v>
      </c>
      <c r="E16" s="39">
        <f t="shared" ref="E16:E20" si="7">C16-B16</f>
        <v>1</v>
      </c>
      <c r="F16" s="106">
        <v>10.0</v>
      </c>
      <c r="G16" s="106">
        <v>301.0</v>
      </c>
      <c r="H16" s="54">
        <f t="shared" ref="H16:H20" si="8">G16*E16</f>
        <v>301</v>
      </c>
      <c r="I16" s="40" t="s">
        <v>109</v>
      </c>
      <c r="J16" s="39"/>
      <c r="K16" s="43"/>
      <c r="O16" s="10" t="s">
        <v>99</v>
      </c>
    </row>
    <row r="17" ht="22.5" customHeight="1">
      <c r="A17" s="10" t="s">
        <v>322</v>
      </c>
      <c r="B17" s="11">
        <v>45723.0</v>
      </c>
      <c r="C17" s="11">
        <v>45725.0</v>
      </c>
      <c r="D17" s="102" t="str">
        <f t="shared" ref="D17:D20" si="9">TEXT(B17 ,"mm (mmmm)")</f>
        <v>03 (mars)</v>
      </c>
      <c r="E17" s="13">
        <f t="shared" si="7"/>
        <v>2</v>
      </c>
      <c r="F17" s="14">
        <v>9.0</v>
      </c>
      <c r="G17" s="15">
        <v>306.0</v>
      </c>
      <c r="H17" s="103">
        <f t="shared" si="8"/>
        <v>612</v>
      </c>
      <c r="I17" s="104" t="s">
        <v>25</v>
      </c>
      <c r="K17" s="43"/>
    </row>
    <row r="18" ht="22.5" customHeight="1">
      <c r="A18" s="10" t="s">
        <v>257</v>
      </c>
      <c r="B18" s="11">
        <v>45730.0</v>
      </c>
      <c r="C18" s="11">
        <v>45732.0</v>
      </c>
      <c r="D18" s="102" t="str">
        <f t="shared" si="9"/>
        <v>03 (mars)</v>
      </c>
      <c r="E18" s="13">
        <f t="shared" si="7"/>
        <v>2</v>
      </c>
      <c r="F18" s="14">
        <v>14.0</v>
      </c>
      <c r="G18" s="15">
        <v>306.0</v>
      </c>
      <c r="H18" s="103">
        <f t="shared" si="8"/>
        <v>612</v>
      </c>
      <c r="I18" s="104" t="s">
        <v>25</v>
      </c>
      <c r="K18" s="43"/>
    </row>
    <row r="19" ht="22.5" customHeight="1">
      <c r="A19" s="10" t="s">
        <v>323</v>
      </c>
      <c r="B19" s="11">
        <v>45737.0</v>
      </c>
      <c r="C19" s="11">
        <v>45739.0</v>
      </c>
      <c r="D19" s="102" t="str">
        <f t="shared" si="9"/>
        <v>03 (mars)</v>
      </c>
      <c r="E19" s="13">
        <f t="shared" si="7"/>
        <v>2</v>
      </c>
      <c r="F19" s="14">
        <v>6.0</v>
      </c>
      <c r="G19" s="15">
        <v>350.0</v>
      </c>
      <c r="H19" s="103">
        <f t="shared" si="8"/>
        <v>700</v>
      </c>
      <c r="I19" s="104" t="s">
        <v>33</v>
      </c>
      <c r="K19" s="43"/>
    </row>
    <row r="20" ht="22.5" customHeight="1">
      <c r="A20" s="10" t="s">
        <v>324</v>
      </c>
      <c r="B20" s="11">
        <v>45744.0</v>
      </c>
      <c r="C20" s="11">
        <v>45746.0</v>
      </c>
      <c r="D20" s="102" t="str">
        <f t="shared" si="9"/>
        <v>03 (mars)</v>
      </c>
      <c r="E20" s="13">
        <f t="shared" si="7"/>
        <v>2</v>
      </c>
      <c r="F20" s="14">
        <v>15.0</v>
      </c>
      <c r="G20" s="15">
        <v>306.0</v>
      </c>
      <c r="H20" s="103">
        <f t="shared" si="8"/>
        <v>612</v>
      </c>
      <c r="I20" s="104" t="s">
        <v>25</v>
      </c>
      <c r="K20" s="43"/>
    </row>
    <row r="21" ht="22.5" customHeight="1">
      <c r="B21" s="19"/>
      <c r="C21" s="19"/>
      <c r="E21" s="20"/>
      <c r="F21" s="21"/>
      <c r="G21" s="16"/>
      <c r="H21" s="42"/>
      <c r="I21" s="22"/>
      <c r="K21" s="43"/>
    </row>
    <row r="22" ht="22.5" customHeight="1">
      <c r="A22" s="10" t="s">
        <v>325</v>
      </c>
      <c r="B22" s="11">
        <v>45751.0</v>
      </c>
      <c r="C22" s="11">
        <v>45754.0</v>
      </c>
      <c r="D22" s="102" t="str">
        <f t="shared" ref="D22:D28" si="10">TEXT(B22 ,"mm (mmmm)")</f>
        <v>04 (avril)</v>
      </c>
      <c r="E22" s="13">
        <f t="shared" ref="E22:E28" si="11">C22-B22</f>
        <v>3</v>
      </c>
      <c r="F22" s="14">
        <v>4.0</v>
      </c>
      <c r="G22" s="15">
        <v>300.0</v>
      </c>
      <c r="H22" s="103">
        <f t="shared" ref="H22:H28" si="12">G22*E22</f>
        <v>900</v>
      </c>
      <c r="I22" s="104" t="s">
        <v>33</v>
      </c>
      <c r="K22" s="43"/>
    </row>
    <row r="23" ht="22.5" customHeight="1">
      <c r="A23" s="10" t="s">
        <v>248</v>
      </c>
      <c r="B23" s="11">
        <v>45758.0</v>
      </c>
      <c r="C23" s="11">
        <v>45760.0</v>
      </c>
      <c r="D23" s="102" t="str">
        <f t="shared" si="10"/>
        <v>04 (avril)</v>
      </c>
      <c r="E23" s="13">
        <f t="shared" si="11"/>
        <v>2</v>
      </c>
      <c r="F23" s="14">
        <v>4.0</v>
      </c>
      <c r="G23" s="15">
        <v>300.0</v>
      </c>
      <c r="H23" s="103">
        <f t="shared" si="12"/>
        <v>600</v>
      </c>
      <c r="I23" s="104" t="s">
        <v>33</v>
      </c>
      <c r="K23" s="43"/>
    </row>
    <row r="24" ht="22.5" customHeight="1">
      <c r="A24" s="10" t="s">
        <v>263</v>
      </c>
      <c r="B24" s="11">
        <v>45761.0</v>
      </c>
      <c r="C24" s="11">
        <v>45763.0</v>
      </c>
      <c r="D24" s="102" t="str">
        <f t="shared" si="10"/>
        <v>04 (avril)</v>
      </c>
      <c r="E24" s="13">
        <f t="shared" si="11"/>
        <v>2</v>
      </c>
      <c r="F24" s="14">
        <v>4.0</v>
      </c>
      <c r="G24" s="15">
        <v>300.0</v>
      </c>
      <c r="H24" s="103">
        <f t="shared" si="12"/>
        <v>600</v>
      </c>
      <c r="I24" s="104" t="s">
        <v>33</v>
      </c>
      <c r="K24" s="43"/>
    </row>
    <row r="25" ht="22.5" customHeight="1">
      <c r="A25" s="10" t="s">
        <v>326</v>
      </c>
      <c r="B25" s="11">
        <v>45765.0</v>
      </c>
      <c r="C25" s="11">
        <v>45768.0</v>
      </c>
      <c r="D25" s="102" t="str">
        <f t="shared" si="10"/>
        <v>04 (avril)</v>
      </c>
      <c r="E25" s="13">
        <f t="shared" si="11"/>
        <v>3</v>
      </c>
      <c r="F25" s="14">
        <v>6.0</v>
      </c>
      <c r="G25" s="15">
        <v>279.0</v>
      </c>
      <c r="H25" s="103">
        <f t="shared" si="12"/>
        <v>837</v>
      </c>
      <c r="I25" s="104" t="s">
        <v>109</v>
      </c>
      <c r="K25" s="43"/>
    </row>
    <row r="26" ht="22.5" customHeight="1">
      <c r="A26" s="10" t="s">
        <v>327</v>
      </c>
      <c r="B26" s="11">
        <v>45768.0</v>
      </c>
      <c r="C26" s="11">
        <v>45772.0</v>
      </c>
      <c r="D26" s="102" t="str">
        <f t="shared" si="10"/>
        <v>04 (avril)</v>
      </c>
      <c r="E26" s="13">
        <f t="shared" si="11"/>
        <v>4</v>
      </c>
      <c r="F26" s="14">
        <v>4.0</v>
      </c>
      <c r="G26" s="15">
        <v>350.0</v>
      </c>
      <c r="H26" s="103">
        <f t="shared" si="12"/>
        <v>1400</v>
      </c>
      <c r="I26" s="104" t="s">
        <v>65</v>
      </c>
      <c r="K26" s="43"/>
    </row>
    <row r="27" ht="22.5" customHeight="1">
      <c r="A27" s="10" t="s">
        <v>328</v>
      </c>
      <c r="B27" s="11">
        <v>45772.0</v>
      </c>
      <c r="C27" s="11">
        <v>45775.0</v>
      </c>
      <c r="D27" s="102" t="str">
        <f t="shared" si="10"/>
        <v>04 (avril)</v>
      </c>
      <c r="E27" s="13">
        <f t="shared" si="11"/>
        <v>3</v>
      </c>
      <c r="F27" s="14">
        <v>7.0</v>
      </c>
      <c r="G27" s="15">
        <v>342.0</v>
      </c>
      <c r="H27" s="103">
        <f t="shared" si="12"/>
        <v>1026</v>
      </c>
      <c r="I27" s="104" t="s">
        <v>109</v>
      </c>
      <c r="K27" s="43"/>
    </row>
    <row r="28" ht="22.5" customHeight="1">
      <c r="A28" s="10" t="s">
        <v>137</v>
      </c>
      <c r="B28" s="11">
        <v>45777.0</v>
      </c>
      <c r="C28" s="11">
        <v>45778.0</v>
      </c>
      <c r="D28" s="102" t="str">
        <f t="shared" si="10"/>
        <v>04 (avril)</v>
      </c>
      <c r="E28" s="13">
        <f t="shared" si="11"/>
        <v>1</v>
      </c>
      <c r="F28" s="14">
        <v>13.0</v>
      </c>
      <c r="G28" s="15">
        <v>306.0</v>
      </c>
      <c r="H28" s="103">
        <f t="shared" si="12"/>
        <v>306</v>
      </c>
      <c r="I28" s="104" t="s">
        <v>25</v>
      </c>
      <c r="K28" s="43"/>
    </row>
    <row r="29" ht="22.5" customHeight="1">
      <c r="B29" s="19"/>
      <c r="C29" s="19"/>
      <c r="E29" s="20"/>
      <c r="F29" s="21"/>
      <c r="G29" s="16"/>
      <c r="H29" s="42"/>
      <c r="I29" s="22"/>
      <c r="K29" s="43"/>
    </row>
    <row r="30" ht="22.5" customHeight="1">
      <c r="A30" s="10" t="s">
        <v>247</v>
      </c>
      <c r="B30" s="11">
        <v>45778.0</v>
      </c>
      <c r="C30" s="11">
        <v>45781.0</v>
      </c>
      <c r="D30" s="102" t="str">
        <f t="shared" ref="D30:D34" si="13">TEXT(B30 ,"mm (mmmm)")</f>
        <v>05 (mai)</v>
      </c>
      <c r="E30" s="13">
        <f t="shared" ref="E30:E35" si="14">C30-B30</f>
        <v>3</v>
      </c>
      <c r="F30" s="14">
        <v>8.0</v>
      </c>
      <c r="G30" s="15">
        <v>312.0</v>
      </c>
      <c r="H30" s="103">
        <f t="shared" ref="H30:H35" si="15">G30*E30</f>
        <v>936</v>
      </c>
      <c r="I30" s="104" t="s">
        <v>109</v>
      </c>
      <c r="K30" s="43"/>
    </row>
    <row r="31" ht="22.5" customHeight="1">
      <c r="A31" s="10" t="s">
        <v>329</v>
      </c>
      <c r="B31" s="11">
        <v>45787.0</v>
      </c>
      <c r="C31" s="11">
        <v>45789.0</v>
      </c>
      <c r="D31" s="102" t="str">
        <f t="shared" si="13"/>
        <v>05 (mai)</v>
      </c>
      <c r="E31" s="13">
        <f t="shared" si="14"/>
        <v>2</v>
      </c>
      <c r="F31" s="14">
        <v>1.0</v>
      </c>
      <c r="G31" s="15">
        <v>276.0</v>
      </c>
      <c r="H31" s="103">
        <f t="shared" si="15"/>
        <v>552</v>
      </c>
      <c r="I31" s="104" t="s">
        <v>25</v>
      </c>
      <c r="K31" s="43"/>
    </row>
    <row r="32" ht="22.5" customHeight="1">
      <c r="A32" s="10" t="s">
        <v>330</v>
      </c>
      <c r="B32" s="11">
        <v>45793.0</v>
      </c>
      <c r="C32" s="11">
        <v>45795.0</v>
      </c>
      <c r="D32" s="102" t="str">
        <f t="shared" si="13"/>
        <v>05 (mai)</v>
      </c>
      <c r="E32" s="13">
        <f t="shared" si="14"/>
        <v>2</v>
      </c>
      <c r="F32" s="14">
        <v>12.0</v>
      </c>
      <c r="G32" s="15">
        <v>295.0</v>
      </c>
      <c r="H32" s="103">
        <f t="shared" si="15"/>
        <v>590</v>
      </c>
      <c r="I32" s="104" t="s">
        <v>25</v>
      </c>
      <c r="K32" s="43"/>
    </row>
    <row r="33" ht="22.5" customHeight="1">
      <c r="A33" s="10" t="s">
        <v>331</v>
      </c>
      <c r="B33" s="11">
        <v>45797.0</v>
      </c>
      <c r="C33" s="11">
        <v>45799.0</v>
      </c>
      <c r="D33" s="102" t="str">
        <f t="shared" si="13"/>
        <v>05 (mai)</v>
      </c>
      <c r="E33" s="13">
        <f t="shared" si="14"/>
        <v>2</v>
      </c>
      <c r="F33" s="14">
        <v>7.0</v>
      </c>
      <c r="G33" s="15">
        <v>356.0</v>
      </c>
      <c r="H33" s="103">
        <f t="shared" si="15"/>
        <v>712</v>
      </c>
      <c r="I33" s="104" t="s">
        <v>111</v>
      </c>
      <c r="K33" s="43"/>
    </row>
    <row r="34" ht="22.5" customHeight="1">
      <c r="A34" s="10" t="s">
        <v>332</v>
      </c>
      <c r="B34" s="11">
        <v>45800.0</v>
      </c>
      <c r="C34" s="11">
        <v>45802.0</v>
      </c>
      <c r="D34" s="102" t="str">
        <f t="shared" si="13"/>
        <v>05 (mai)</v>
      </c>
      <c r="E34" s="13">
        <f t="shared" si="14"/>
        <v>2</v>
      </c>
      <c r="F34" s="14">
        <v>6.0</v>
      </c>
      <c r="G34" s="15">
        <v>435.0</v>
      </c>
      <c r="H34" s="103">
        <f t="shared" si="15"/>
        <v>870</v>
      </c>
      <c r="I34" s="104" t="s">
        <v>65</v>
      </c>
      <c r="K34" s="43"/>
    </row>
    <row r="35" ht="22.5" customHeight="1">
      <c r="A35" s="34" t="s">
        <v>333</v>
      </c>
      <c r="B35" s="35">
        <v>45805.0</v>
      </c>
      <c r="C35" s="35">
        <v>45809.0</v>
      </c>
      <c r="D35" s="105">
        <f>B35</f>
        <v>45805</v>
      </c>
      <c r="E35" s="39">
        <f t="shared" si="14"/>
        <v>4</v>
      </c>
      <c r="F35" s="106">
        <v>10.0</v>
      </c>
      <c r="G35" s="106">
        <v>300.0</v>
      </c>
      <c r="H35" s="54">
        <f t="shared" si="15"/>
        <v>1200</v>
      </c>
      <c r="I35" s="40" t="s">
        <v>33</v>
      </c>
      <c r="J35" s="39"/>
      <c r="K35" s="43"/>
      <c r="O35" s="10" t="s">
        <v>99</v>
      </c>
    </row>
    <row r="36" ht="22.5" customHeight="1">
      <c r="A36" s="28"/>
      <c r="B36" s="19"/>
      <c r="C36" s="19"/>
      <c r="H36" s="42"/>
      <c r="I36" s="22"/>
      <c r="K36" s="43"/>
    </row>
    <row r="37" ht="22.5" customHeight="1">
      <c r="A37" s="34" t="s">
        <v>333</v>
      </c>
      <c r="B37" s="35">
        <v>45809.0</v>
      </c>
      <c r="C37" s="35">
        <v>45810.0</v>
      </c>
      <c r="D37" s="105">
        <f>B37</f>
        <v>45809</v>
      </c>
      <c r="E37" s="39">
        <f t="shared" ref="E37:E42" si="16">C37-B37</f>
        <v>1</v>
      </c>
      <c r="F37" s="106">
        <v>10.0</v>
      </c>
      <c r="G37" s="106">
        <v>300.0</v>
      </c>
      <c r="H37" s="54">
        <f t="shared" ref="H37:H42" si="17">G37*E37</f>
        <v>300</v>
      </c>
      <c r="I37" s="40" t="s">
        <v>33</v>
      </c>
      <c r="J37" s="39"/>
      <c r="K37" s="43"/>
      <c r="O37" s="10" t="s">
        <v>99</v>
      </c>
    </row>
    <row r="38" ht="22.5" customHeight="1">
      <c r="A38" s="10" t="s">
        <v>334</v>
      </c>
      <c r="B38" s="11">
        <v>45814.0</v>
      </c>
      <c r="C38" s="11">
        <v>45818.0</v>
      </c>
      <c r="D38" s="102" t="str">
        <f t="shared" ref="D38:D42" si="18">TEXT(B38 ,"mm (mmmm)")</f>
        <v>06 (juin)</v>
      </c>
      <c r="E38" s="13">
        <f t="shared" si="16"/>
        <v>4</v>
      </c>
      <c r="F38" s="14">
        <v>6.0</v>
      </c>
      <c r="G38" s="15">
        <v>290.0</v>
      </c>
      <c r="H38" s="103">
        <f t="shared" si="17"/>
        <v>1160</v>
      </c>
      <c r="I38" s="104" t="s">
        <v>33</v>
      </c>
      <c r="K38" s="43"/>
    </row>
    <row r="39" ht="22.5" customHeight="1">
      <c r="A39" s="10" t="s">
        <v>335</v>
      </c>
      <c r="B39" s="11">
        <v>45821.0</v>
      </c>
      <c r="C39" s="11">
        <v>45823.0</v>
      </c>
      <c r="D39" s="102" t="str">
        <f t="shared" si="18"/>
        <v>06 (juin)</v>
      </c>
      <c r="E39" s="13">
        <f t="shared" si="16"/>
        <v>2</v>
      </c>
      <c r="F39" s="14">
        <v>4.0</v>
      </c>
      <c r="G39" s="15">
        <v>330.0</v>
      </c>
      <c r="H39" s="103">
        <f t="shared" si="17"/>
        <v>660</v>
      </c>
      <c r="I39" s="104" t="s">
        <v>33</v>
      </c>
      <c r="K39" s="43"/>
    </row>
    <row r="40" ht="22.5" customHeight="1">
      <c r="A40" s="10" t="s">
        <v>336</v>
      </c>
      <c r="B40" s="11">
        <v>45828.0</v>
      </c>
      <c r="C40" s="11">
        <v>45830.0</v>
      </c>
      <c r="D40" s="102" t="str">
        <f t="shared" si="18"/>
        <v>06 (juin)</v>
      </c>
      <c r="E40" s="13">
        <f t="shared" si="16"/>
        <v>2</v>
      </c>
      <c r="F40" s="14">
        <v>10.0</v>
      </c>
      <c r="G40" s="15">
        <v>369.0</v>
      </c>
      <c r="H40" s="103">
        <f t="shared" si="17"/>
        <v>738</v>
      </c>
      <c r="I40" s="104" t="s">
        <v>109</v>
      </c>
      <c r="K40" s="43"/>
    </row>
    <row r="41" ht="22.5" customHeight="1">
      <c r="A41" s="10" t="s">
        <v>337</v>
      </c>
      <c r="B41" s="11">
        <v>45831.0</v>
      </c>
      <c r="C41" s="11">
        <v>45833.0</v>
      </c>
      <c r="D41" s="102" t="str">
        <f t="shared" si="18"/>
        <v>06 (juin)</v>
      </c>
      <c r="E41" s="13">
        <f t="shared" si="16"/>
        <v>2</v>
      </c>
      <c r="F41" s="14">
        <v>4.0</v>
      </c>
      <c r="G41" s="15">
        <v>247.0</v>
      </c>
      <c r="H41" s="103">
        <f t="shared" si="17"/>
        <v>494</v>
      </c>
      <c r="I41" s="104" t="s">
        <v>25</v>
      </c>
      <c r="K41" s="43"/>
    </row>
    <row r="42" ht="22.5" customHeight="1">
      <c r="A42" s="10" t="s">
        <v>338</v>
      </c>
      <c r="B42" s="11">
        <v>45835.0</v>
      </c>
      <c r="C42" s="11">
        <v>45837.0</v>
      </c>
      <c r="D42" s="102" t="str">
        <f t="shared" si="18"/>
        <v>06 (juin)</v>
      </c>
      <c r="E42" s="13">
        <f t="shared" si="16"/>
        <v>2</v>
      </c>
      <c r="F42" s="14">
        <v>8.0</v>
      </c>
      <c r="G42" s="15">
        <v>301.0</v>
      </c>
      <c r="H42" s="103">
        <f t="shared" si="17"/>
        <v>602</v>
      </c>
      <c r="I42" s="104" t="s">
        <v>109</v>
      </c>
      <c r="K42" s="43"/>
    </row>
    <row r="43" ht="22.5" customHeight="1">
      <c r="B43" s="19"/>
      <c r="C43" s="19"/>
      <c r="E43" s="20"/>
      <c r="F43" s="21"/>
      <c r="G43" s="16"/>
      <c r="H43" s="42"/>
      <c r="I43" s="22"/>
      <c r="K43" s="43"/>
    </row>
    <row r="44" ht="22.5" customHeight="1">
      <c r="A44" s="10" t="s">
        <v>206</v>
      </c>
      <c r="B44" s="11">
        <v>45842.0</v>
      </c>
      <c r="C44" s="11">
        <v>45844.0</v>
      </c>
      <c r="D44" s="102" t="str">
        <f t="shared" ref="D44:D48" si="19">TEXT(B44 ,"mm (mmmm)")</f>
        <v>07 (juillet)</v>
      </c>
      <c r="E44" s="13">
        <f t="shared" ref="E44:E48" si="20">C44-B44</f>
        <v>2</v>
      </c>
      <c r="F44" s="14">
        <v>7.0</v>
      </c>
      <c r="G44" s="15">
        <v>323.0</v>
      </c>
      <c r="H44" s="103">
        <f t="shared" ref="H44:H48" si="21">G44*E44</f>
        <v>646</v>
      </c>
      <c r="I44" s="104" t="s">
        <v>25</v>
      </c>
      <c r="K44" s="43"/>
    </row>
    <row r="45" ht="22.5" customHeight="1">
      <c r="A45" s="10" t="s">
        <v>134</v>
      </c>
      <c r="B45" s="11">
        <v>45844.0</v>
      </c>
      <c r="C45" s="11">
        <v>45849.0</v>
      </c>
      <c r="D45" s="102" t="str">
        <f t="shared" si="19"/>
        <v>07 (juillet)</v>
      </c>
      <c r="E45" s="13">
        <f t="shared" si="20"/>
        <v>5</v>
      </c>
      <c r="F45" s="14">
        <v>7.0</v>
      </c>
      <c r="G45" s="15">
        <v>0.0</v>
      </c>
      <c r="H45" s="103">
        <f t="shared" si="21"/>
        <v>0</v>
      </c>
      <c r="I45" s="104" t="s">
        <v>134</v>
      </c>
      <c r="K45" s="43"/>
    </row>
    <row r="46" ht="22.5" customHeight="1">
      <c r="A46" s="10" t="s">
        <v>339</v>
      </c>
      <c r="B46" s="11">
        <v>45849.0</v>
      </c>
      <c r="C46" s="11">
        <v>45852.0</v>
      </c>
      <c r="D46" s="102" t="str">
        <f t="shared" si="19"/>
        <v>07 (juillet)</v>
      </c>
      <c r="E46" s="13">
        <f t="shared" si="20"/>
        <v>3</v>
      </c>
      <c r="F46" s="14">
        <v>7.0</v>
      </c>
      <c r="G46" s="15">
        <v>306.0</v>
      </c>
      <c r="H46" s="103">
        <f t="shared" si="21"/>
        <v>918</v>
      </c>
      <c r="I46" s="104" t="s">
        <v>25</v>
      </c>
      <c r="K46" s="43"/>
    </row>
    <row r="47" ht="22.5" customHeight="1">
      <c r="A47" s="10" t="s">
        <v>340</v>
      </c>
      <c r="B47" s="11">
        <v>45856.0</v>
      </c>
      <c r="C47" s="11">
        <v>45859.0</v>
      </c>
      <c r="D47" s="102" t="str">
        <f t="shared" si="19"/>
        <v>07 (juillet)</v>
      </c>
      <c r="E47" s="13">
        <f t="shared" si="20"/>
        <v>3</v>
      </c>
      <c r="F47" s="14">
        <v>4.0</v>
      </c>
      <c r="G47" s="15">
        <v>350.0</v>
      </c>
      <c r="H47" s="103">
        <f t="shared" si="21"/>
        <v>1050</v>
      </c>
      <c r="I47" s="104" t="s">
        <v>65</v>
      </c>
      <c r="K47" s="43"/>
    </row>
    <row r="48" ht="22.5" customHeight="1">
      <c r="A48" s="10" t="s">
        <v>210</v>
      </c>
      <c r="B48" s="11">
        <v>45863.0</v>
      </c>
      <c r="C48" s="11">
        <v>45865.0</v>
      </c>
      <c r="D48" s="102" t="str">
        <f t="shared" si="19"/>
        <v>07 (juillet)</v>
      </c>
      <c r="E48" s="13">
        <f t="shared" si="20"/>
        <v>2</v>
      </c>
      <c r="F48" s="14">
        <v>9.0</v>
      </c>
      <c r="G48" s="15">
        <v>350.0</v>
      </c>
      <c r="H48" s="103">
        <f t="shared" si="21"/>
        <v>700</v>
      </c>
      <c r="I48" s="104" t="s">
        <v>25</v>
      </c>
      <c r="K48" s="43"/>
    </row>
    <row r="49" ht="22.5" customHeight="1">
      <c r="B49" s="19"/>
      <c r="C49" s="19"/>
      <c r="E49" s="20"/>
      <c r="F49" s="21"/>
      <c r="G49" s="16"/>
      <c r="H49" s="42"/>
      <c r="I49" s="22"/>
      <c r="K49" s="43"/>
    </row>
    <row r="50" ht="22.5" customHeight="1">
      <c r="A50" s="10" t="s">
        <v>339</v>
      </c>
      <c r="B50" s="11">
        <v>45870.0</v>
      </c>
      <c r="C50" s="11">
        <v>45872.0</v>
      </c>
      <c r="D50" s="102" t="str">
        <f t="shared" ref="D50:D54" si="22">TEXT(B50 ,"mm (mmmm)")</f>
        <v>08 (août)</v>
      </c>
      <c r="E50" s="13">
        <f t="shared" ref="E50:E55" si="23">C50-B50</f>
        <v>2</v>
      </c>
      <c r="F50" s="14">
        <v>7.0</v>
      </c>
      <c r="G50" s="15">
        <v>306.0</v>
      </c>
      <c r="H50" s="103">
        <f t="shared" ref="H50:H54" si="24">G50*E50</f>
        <v>612</v>
      </c>
      <c r="I50" s="104" t="s">
        <v>25</v>
      </c>
      <c r="K50" s="43"/>
    </row>
    <row r="51" ht="22.5" customHeight="1">
      <c r="A51" s="10" t="s">
        <v>341</v>
      </c>
      <c r="B51" s="11">
        <v>45872.0</v>
      </c>
      <c r="C51" s="11">
        <v>45879.0</v>
      </c>
      <c r="D51" s="102" t="str">
        <f t="shared" si="22"/>
        <v>08 (août)</v>
      </c>
      <c r="E51" s="13">
        <f t="shared" si="23"/>
        <v>7</v>
      </c>
      <c r="F51" s="14">
        <v>4.0</v>
      </c>
      <c r="G51" s="15">
        <v>350.0</v>
      </c>
      <c r="H51" s="103">
        <f t="shared" si="24"/>
        <v>2450</v>
      </c>
      <c r="I51" s="104" t="s">
        <v>33</v>
      </c>
      <c r="J51" s="10" t="s">
        <v>342</v>
      </c>
      <c r="K51" s="43"/>
    </row>
    <row r="52" ht="22.5" customHeight="1">
      <c r="A52" s="10" t="s">
        <v>343</v>
      </c>
      <c r="B52" s="11">
        <v>45880.0</v>
      </c>
      <c r="C52" s="11">
        <v>45885.0</v>
      </c>
      <c r="D52" s="102" t="str">
        <f t="shared" si="22"/>
        <v>08 (août)</v>
      </c>
      <c r="E52" s="13">
        <f t="shared" si="23"/>
        <v>5</v>
      </c>
      <c r="F52" s="14">
        <v>4.0</v>
      </c>
      <c r="G52" s="15">
        <v>419.0</v>
      </c>
      <c r="H52" s="103">
        <f t="shared" si="24"/>
        <v>2095</v>
      </c>
      <c r="I52" s="104" t="s">
        <v>33</v>
      </c>
      <c r="K52" s="43"/>
    </row>
    <row r="53" ht="22.5" customHeight="1">
      <c r="A53" s="10" t="s">
        <v>344</v>
      </c>
      <c r="B53" s="11">
        <v>45885.0</v>
      </c>
      <c r="C53" s="11">
        <v>45890.0</v>
      </c>
      <c r="D53" s="102" t="str">
        <f t="shared" si="22"/>
        <v>08 (août)</v>
      </c>
      <c r="E53" s="13">
        <f t="shared" si="23"/>
        <v>5</v>
      </c>
      <c r="F53" s="14">
        <v>13.0</v>
      </c>
      <c r="G53" s="15">
        <v>306.0</v>
      </c>
      <c r="H53" s="103">
        <f t="shared" si="24"/>
        <v>1530</v>
      </c>
      <c r="I53" s="104" t="s">
        <v>25</v>
      </c>
      <c r="K53" s="43"/>
    </row>
    <row r="54" ht="22.5" customHeight="1">
      <c r="A54" s="10" t="s">
        <v>345</v>
      </c>
      <c r="B54" s="11">
        <v>45891.0</v>
      </c>
      <c r="C54" s="11">
        <v>45894.0</v>
      </c>
      <c r="D54" s="102" t="str">
        <f t="shared" si="22"/>
        <v>08 (août)</v>
      </c>
      <c r="E54" s="13">
        <f t="shared" si="23"/>
        <v>3</v>
      </c>
      <c r="F54" s="14">
        <v>5.0</v>
      </c>
      <c r="G54" s="15">
        <v>320.0</v>
      </c>
      <c r="H54" s="103">
        <f t="shared" si="24"/>
        <v>960</v>
      </c>
      <c r="I54" s="104" t="s">
        <v>33</v>
      </c>
      <c r="K54" s="43"/>
    </row>
    <row r="55" ht="22.5" customHeight="1">
      <c r="A55" s="10" t="s">
        <v>346</v>
      </c>
      <c r="B55" s="11">
        <v>45897.0</v>
      </c>
      <c r="C55" s="11">
        <v>45900.0</v>
      </c>
      <c r="D55" s="68">
        <f>B55</f>
        <v>45897</v>
      </c>
      <c r="E55" s="24">
        <f t="shared" si="23"/>
        <v>3</v>
      </c>
      <c r="F55" s="25">
        <v>4.0</v>
      </c>
      <c r="G55" s="10">
        <v>225.0</v>
      </c>
      <c r="H55" s="50">
        <v>673.0</v>
      </c>
      <c r="I55" s="18" t="s">
        <v>33</v>
      </c>
      <c r="J55" s="10" t="s">
        <v>347</v>
      </c>
      <c r="K55" s="43"/>
    </row>
    <row r="56" ht="22.5" customHeight="1">
      <c r="B56" s="19"/>
      <c r="C56" s="19"/>
      <c r="D56" s="23"/>
      <c r="E56" s="24"/>
      <c r="F56" s="27"/>
      <c r="H56" s="42"/>
      <c r="I56" s="22"/>
      <c r="K56" s="43"/>
    </row>
    <row r="57" ht="22.5" customHeight="1">
      <c r="A57" s="10" t="s">
        <v>348</v>
      </c>
      <c r="B57" s="11">
        <v>45905.0</v>
      </c>
      <c r="C57" s="11">
        <v>45908.0</v>
      </c>
      <c r="D57" s="68">
        <f>B57</f>
        <v>45905</v>
      </c>
      <c r="E57" s="24">
        <f t="shared" ref="E57:E60" si="25">C57-B57</f>
        <v>3</v>
      </c>
      <c r="F57" s="25">
        <v>6.0</v>
      </c>
      <c r="G57" s="42">
        <f>H57/E57</f>
        <v>200</v>
      </c>
      <c r="H57" s="41">
        <v>600.0</v>
      </c>
      <c r="I57" s="104" t="s">
        <v>33</v>
      </c>
      <c r="J57" s="10" t="s">
        <v>349</v>
      </c>
      <c r="K57" s="43"/>
    </row>
    <row r="58" ht="22.5" customHeight="1">
      <c r="A58" s="10" t="s">
        <v>350</v>
      </c>
      <c r="B58" s="11">
        <v>45912.0</v>
      </c>
      <c r="C58" s="11">
        <v>45915.0</v>
      </c>
      <c r="D58" s="102" t="str">
        <f t="shared" ref="D58:D60" si="26">TEXT(B58 ,"mm (mmmm)")</f>
        <v>09 (septembre)</v>
      </c>
      <c r="E58" s="13">
        <f t="shared" si="25"/>
        <v>3</v>
      </c>
      <c r="F58" s="14">
        <v>8.0</v>
      </c>
      <c r="G58" s="15">
        <v>300.0</v>
      </c>
      <c r="H58" s="103">
        <f t="shared" ref="H58:H59" si="27">G58*E58</f>
        <v>900</v>
      </c>
      <c r="I58" s="104" t="s">
        <v>65</v>
      </c>
      <c r="J58" s="10" t="s">
        <v>351</v>
      </c>
      <c r="K58" s="43"/>
    </row>
    <row r="59" ht="22.5" customHeight="1">
      <c r="A59" s="10" t="s">
        <v>352</v>
      </c>
      <c r="B59" s="11">
        <v>45919.0</v>
      </c>
      <c r="C59" s="11">
        <v>45921.0</v>
      </c>
      <c r="D59" s="102" t="str">
        <f t="shared" si="26"/>
        <v>09 (septembre)</v>
      </c>
      <c r="E59" s="13">
        <f t="shared" si="25"/>
        <v>2</v>
      </c>
      <c r="F59" s="14">
        <v>8.0</v>
      </c>
      <c r="G59" s="15">
        <v>300.0</v>
      </c>
      <c r="H59" s="103">
        <f t="shared" si="27"/>
        <v>600</v>
      </c>
      <c r="I59" s="104" t="s">
        <v>27</v>
      </c>
      <c r="J59" s="10" t="s">
        <v>353</v>
      </c>
      <c r="K59" s="43"/>
    </row>
    <row r="60" ht="22.5" customHeight="1">
      <c r="A60" s="10" t="s">
        <v>354</v>
      </c>
      <c r="B60" s="11">
        <v>45926.0</v>
      </c>
      <c r="C60" s="11">
        <v>45928.0</v>
      </c>
      <c r="D60" s="102" t="str">
        <f t="shared" si="26"/>
        <v>09 (septembre)</v>
      </c>
      <c r="E60" s="13">
        <f t="shared" si="25"/>
        <v>2</v>
      </c>
      <c r="F60" s="14">
        <v>6.0</v>
      </c>
      <c r="G60" s="15">
        <v>300.0</v>
      </c>
      <c r="H60" s="41">
        <v>600.0</v>
      </c>
      <c r="I60" s="104" t="s">
        <v>27</v>
      </c>
      <c r="J60" s="10" t="s">
        <v>355</v>
      </c>
      <c r="K60" s="43"/>
    </row>
    <row r="61" ht="22.5" customHeight="1">
      <c r="B61" s="19"/>
      <c r="C61" s="19"/>
      <c r="E61" s="20"/>
      <c r="F61" s="21"/>
      <c r="G61" s="16"/>
      <c r="H61" s="42"/>
      <c r="I61" s="22"/>
      <c r="K61" s="43"/>
    </row>
    <row r="62" ht="22.5" customHeight="1">
      <c r="A62" s="10" t="s">
        <v>200</v>
      </c>
      <c r="B62" s="11">
        <v>45933.0</v>
      </c>
      <c r="C62" s="11">
        <v>45935.0</v>
      </c>
      <c r="D62" s="102" t="str">
        <f t="shared" ref="D62:D67" si="28">TEXT(B62 ,"mm (mmmm)")</f>
        <v>10 (octobre)</v>
      </c>
      <c r="E62" s="13">
        <f t="shared" ref="E62:E67" si="29">C62-B62</f>
        <v>2</v>
      </c>
      <c r="F62" s="14">
        <v>8.0</v>
      </c>
      <c r="G62" s="15">
        <v>350.0</v>
      </c>
      <c r="H62" s="103">
        <f t="shared" ref="H62:H66" si="30">G62*E62</f>
        <v>700</v>
      </c>
      <c r="I62" s="104" t="s">
        <v>27</v>
      </c>
      <c r="J62" s="10" t="s">
        <v>356</v>
      </c>
      <c r="K62" s="43"/>
    </row>
    <row r="63" ht="22.5" customHeight="1">
      <c r="A63" s="10" t="s">
        <v>357</v>
      </c>
      <c r="B63" s="11">
        <v>45936.0</v>
      </c>
      <c r="C63" s="11">
        <v>45939.0</v>
      </c>
      <c r="D63" s="102" t="str">
        <f t="shared" si="28"/>
        <v>10 (octobre)</v>
      </c>
      <c r="E63" s="13">
        <f t="shared" si="29"/>
        <v>3</v>
      </c>
      <c r="F63" s="14">
        <v>8.0</v>
      </c>
      <c r="G63" s="15">
        <v>300.0</v>
      </c>
      <c r="H63" s="103">
        <f t="shared" si="30"/>
        <v>900</v>
      </c>
      <c r="I63" s="104" t="s">
        <v>109</v>
      </c>
      <c r="J63" s="10" t="s">
        <v>108</v>
      </c>
      <c r="K63" s="43"/>
    </row>
    <row r="64" ht="22.5" customHeight="1">
      <c r="A64" s="10" t="s">
        <v>236</v>
      </c>
      <c r="B64" s="11">
        <v>45940.0</v>
      </c>
      <c r="C64" s="11">
        <v>45942.0</v>
      </c>
      <c r="D64" s="102" t="str">
        <f t="shared" si="28"/>
        <v>10 (octobre)</v>
      </c>
      <c r="E64" s="13">
        <f t="shared" si="29"/>
        <v>2</v>
      </c>
      <c r="F64" s="14">
        <v>6.0</v>
      </c>
      <c r="G64" s="15">
        <v>300.0</v>
      </c>
      <c r="H64" s="103">
        <f t="shared" si="30"/>
        <v>600</v>
      </c>
      <c r="I64" s="104" t="s">
        <v>33</v>
      </c>
      <c r="J64" s="10" t="s">
        <v>358</v>
      </c>
      <c r="K64" s="43"/>
    </row>
    <row r="65" ht="22.5" customHeight="1">
      <c r="A65" s="10" t="s">
        <v>359</v>
      </c>
      <c r="B65" s="11">
        <v>45947.0</v>
      </c>
      <c r="C65" s="11">
        <v>45949.0</v>
      </c>
      <c r="D65" s="102" t="str">
        <f t="shared" si="28"/>
        <v>10 (octobre)</v>
      </c>
      <c r="E65" s="13">
        <f t="shared" si="29"/>
        <v>2</v>
      </c>
      <c r="F65" s="14">
        <v>8.0</v>
      </c>
      <c r="G65" s="15">
        <v>350.0</v>
      </c>
      <c r="H65" s="103">
        <f t="shared" si="30"/>
        <v>700</v>
      </c>
      <c r="I65" s="104" t="s">
        <v>33</v>
      </c>
      <c r="K65" s="43"/>
    </row>
    <row r="66" ht="22.5" customHeight="1">
      <c r="A66" s="10" t="s">
        <v>37</v>
      </c>
      <c r="B66" s="11">
        <v>45949.0</v>
      </c>
      <c r="C66" s="11">
        <v>45956.0</v>
      </c>
      <c r="D66" s="102" t="str">
        <f t="shared" si="28"/>
        <v>10 (octobre)</v>
      </c>
      <c r="E66" s="13">
        <f t="shared" si="29"/>
        <v>7</v>
      </c>
      <c r="F66" s="14">
        <v>6.0</v>
      </c>
      <c r="G66" s="15">
        <v>0.0</v>
      </c>
      <c r="H66" s="103">
        <f t="shared" si="30"/>
        <v>0</v>
      </c>
      <c r="I66" s="104" t="s">
        <v>134</v>
      </c>
      <c r="K66" s="43"/>
    </row>
    <row r="67" ht="22.5" customHeight="1">
      <c r="A67" s="10" t="s">
        <v>360</v>
      </c>
      <c r="B67" s="11">
        <v>45959.0</v>
      </c>
      <c r="C67" s="11">
        <v>45962.0</v>
      </c>
      <c r="D67" s="102" t="str">
        <f t="shared" si="28"/>
        <v>10 (octobre)</v>
      </c>
      <c r="E67" s="24">
        <f t="shared" si="29"/>
        <v>3</v>
      </c>
      <c r="F67" s="25">
        <v>6.0</v>
      </c>
      <c r="G67" s="107">
        <v>323.0</v>
      </c>
      <c r="H67" s="50">
        <v>969.0</v>
      </c>
      <c r="I67" s="18" t="s">
        <v>25</v>
      </c>
      <c r="K67" s="43"/>
      <c r="O67" s="10" t="s">
        <v>40</v>
      </c>
    </row>
    <row r="68" ht="22.5" customHeight="1">
      <c r="A68" s="28"/>
      <c r="B68" s="19"/>
      <c r="C68" s="19"/>
      <c r="G68" s="28"/>
      <c r="H68" s="42"/>
      <c r="I68" s="22"/>
      <c r="J68" s="28"/>
      <c r="K68" s="43"/>
    </row>
    <row r="69" ht="22.5" customHeight="1">
      <c r="A69" s="34" t="s">
        <v>361</v>
      </c>
      <c r="B69" s="35">
        <v>45962.0</v>
      </c>
      <c r="C69" s="35">
        <v>45963.0</v>
      </c>
      <c r="D69" s="102" t="str">
        <f t="shared" ref="D69:D71" si="31">TEXT(B69 ,"mm (mmmm)")</f>
        <v>11 (novembre)</v>
      </c>
      <c r="E69" s="39">
        <f t="shared" ref="E69:E73" si="32">C69-B69</f>
        <v>1</v>
      </c>
      <c r="F69" s="106">
        <v>10.0</v>
      </c>
      <c r="G69" s="34">
        <v>300.0</v>
      </c>
      <c r="H69" s="108">
        <f t="shared" ref="H69:H71" si="33">G69*E69</f>
        <v>300</v>
      </c>
      <c r="I69" s="40" t="s">
        <v>27</v>
      </c>
      <c r="J69" s="34" t="s">
        <v>362</v>
      </c>
      <c r="K69" s="43"/>
      <c r="O69" s="10" t="s">
        <v>105</v>
      </c>
    </row>
    <row r="70" ht="22.5" customHeight="1">
      <c r="A70" s="10" t="s">
        <v>162</v>
      </c>
      <c r="B70" s="11">
        <v>45968.0</v>
      </c>
      <c r="C70" s="11">
        <v>45972.0</v>
      </c>
      <c r="D70" s="102" t="str">
        <f t="shared" si="31"/>
        <v>11 (novembre)</v>
      </c>
      <c r="E70" s="24">
        <f t="shared" si="32"/>
        <v>4</v>
      </c>
      <c r="F70" s="25">
        <v>6.0</v>
      </c>
      <c r="G70" s="10">
        <v>312.5</v>
      </c>
      <c r="H70" s="103">
        <f t="shared" si="33"/>
        <v>1250</v>
      </c>
      <c r="I70" s="18" t="s">
        <v>195</v>
      </c>
      <c r="J70" s="10" t="s">
        <v>363</v>
      </c>
      <c r="K70" s="43"/>
      <c r="O70" s="10" t="s">
        <v>40</v>
      </c>
    </row>
    <row r="71" ht="22.5" customHeight="1">
      <c r="A71" s="10" t="s">
        <v>364</v>
      </c>
      <c r="B71" s="11">
        <v>45975.0</v>
      </c>
      <c r="C71" s="11">
        <v>45977.0</v>
      </c>
      <c r="D71" s="102" t="str">
        <f t="shared" si="31"/>
        <v>11 (novembre)</v>
      </c>
      <c r="E71" s="24">
        <f t="shared" si="32"/>
        <v>2</v>
      </c>
      <c r="F71" s="25">
        <v>6.0</v>
      </c>
      <c r="G71" s="10">
        <v>350.0</v>
      </c>
      <c r="H71" s="103">
        <f t="shared" si="33"/>
        <v>700</v>
      </c>
      <c r="I71" s="18" t="s">
        <v>33</v>
      </c>
      <c r="J71" s="10" t="s">
        <v>365</v>
      </c>
      <c r="K71" s="69" t="s">
        <v>366</v>
      </c>
      <c r="O71" s="10" t="s">
        <v>40</v>
      </c>
    </row>
    <row r="72" ht="22.5" customHeight="1">
      <c r="A72" s="10" t="s">
        <v>234</v>
      </c>
      <c r="B72" s="11">
        <v>45982.0</v>
      </c>
      <c r="C72" s="11">
        <v>45984.0</v>
      </c>
      <c r="D72" s="68">
        <f t="shared" ref="D72:D73" si="34">B72</f>
        <v>45982</v>
      </c>
      <c r="E72" s="24">
        <f t="shared" si="32"/>
        <v>2</v>
      </c>
      <c r="F72" s="25">
        <v>10.0</v>
      </c>
      <c r="G72" s="10">
        <v>311.5</v>
      </c>
      <c r="H72" s="41">
        <v>623.0</v>
      </c>
      <c r="I72" s="18" t="s">
        <v>109</v>
      </c>
      <c r="J72" s="10" t="s">
        <v>367</v>
      </c>
      <c r="K72" s="69" t="s">
        <v>368</v>
      </c>
      <c r="O72" s="10" t="s">
        <v>40</v>
      </c>
    </row>
    <row r="73" ht="22.5" customHeight="1">
      <c r="A73" s="10" t="s">
        <v>369</v>
      </c>
      <c r="B73" s="11">
        <v>45989.0</v>
      </c>
      <c r="C73" s="11">
        <v>45991.0</v>
      </c>
      <c r="D73" s="68">
        <f t="shared" si="34"/>
        <v>45989</v>
      </c>
      <c r="E73" s="24">
        <f t="shared" si="32"/>
        <v>2</v>
      </c>
      <c r="F73" s="25">
        <v>6.0</v>
      </c>
      <c r="G73" s="10">
        <v>350.0</v>
      </c>
      <c r="H73" s="103">
        <f>G73*E73</f>
        <v>700</v>
      </c>
      <c r="I73" s="18" t="s">
        <v>195</v>
      </c>
      <c r="J73" s="10" t="s">
        <v>370</v>
      </c>
      <c r="K73" s="69" t="s">
        <v>371</v>
      </c>
      <c r="O73" s="10" t="s">
        <v>40</v>
      </c>
    </row>
    <row r="74" ht="22.5" customHeight="1">
      <c r="B74" s="19"/>
      <c r="C74" s="19"/>
      <c r="D74" s="23"/>
      <c r="E74" s="20"/>
      <c r="F74" s="21"/>
      <c r="G74" s="16"/>
      <c r="H74" s="42"/>
      <c r="I74" s="22"/>
      <c r="J74" s="28"/>
      <c r="K74" s="43"/>
    </row>
    <row r="75" ht="22.5" customHeight="1">
      <c r="A75" s="39"/>
      <c r="B75" s="35">
        <v>45996.0</v>
      </c>
      <c r="C75" s="35">
        <v>45998.0</v>
      </c>
      <c r="D75" s="68">
        <f t="shared" ref="D75:D79" si="35">B75</f>
        <v>45996</v>
      </c>
      <c r="E75" s="52">
        <f t="shared" ref="E75:E79" si="36">C75-B75</f>
        <v>2</v>
      </c>
      <c r="F75" s="53">
        <v>10.0</v>
      </c>
      <c r="G75" s="109">
        <v>350.0</v>
      </c>
      <c r="H75" s="108">
        <f>G75*E75</f>
        <v>700</v>
      </c>
      <c r="I75" s="40" t="s">
        <v>195</v>
      </c>
      <c r="J75" s="34" t="s">
        <v>372</v>
      </c>
      <c r="K75" s="43"/>
      <c r="O75" s="10" t="s">
        <v>93</v>
      </c>
    </row>
    <row r="76" ht="22.5" customHeight="1">
      <c r="A76" s="34" t="s">
        <v>373</v>
      </c>
      <c r="B76" s="35">
        <v>46003.0</v>
      </c>
      <c r="C76" s="35">
        <v>46005.0</v>
      </c>
      <c r="D76" s="68">
        <f t="shared" si="35"/>
        <v>46003</v>
      </c>
      <c r="E76" s="52">
        <f t="shared" si="36"/>
        <v>2</v>
      </c>
      <c r="F76" s="53">
        <v>10.0</v>
      </c>
      <c r="G76" s="109">
        <v>306.0</v>
      </c>
      <c r="H76" s="54">
        <v>612.0</v>
      </c>
      <c r="I76" s="40" t="s">
        <v>25</v>
      </c>
      <c r="J76" s="39"/>
      <c r="K76" s="43"/>
      <c r="O76" s="10" t="s">
        <v>93</v>
      </c>
    </row>
    <row r="77" ht="22.5" customHeight="1">
      <c r="A77" s="34" t="s">
        <v>374</v>
      </c>
      <c r="B77" s="35">
        <v>46010.0</v>
      </c>
      <c r="C77" s="35">
        <v>46012.0</v>
      </c>
      <c r="D77" s="110">
        <f t="shared" si="35"/>
        <v>46010</v>
      </c>
      <c r="E77" s="52">
        <f t="shared" si="36"/>
        <v>2</v>
      </c>
      <c r="F77" s="53">
        <v>10.0</v>
      </c>
      <c r="G77" s="109">
        <v>252.655</v>
      </c>
      <c r="H77" s="54">
        <v>505.31</v>
      </c>
      <c r="I77" s="40" t="s">
        <v>25</v>
      </c>
      <c r="J77" s="111"/>
      <c r="K77" s="43"/>
      <c r="O77" s="10" t="s">
        <v>107</v>
      </c>
    </row>
    <row r="78" ht="22.5" customHeight="1">
      <c r="A78" s="39"/>
      <c r="B78" s="35">
        <v>46014.0</v>
      </c>
      <c r="C78" s="35">
        <v>46019.0</v>
      </c>
      <c r="D78" s="68">
        <f t="shared" si="35"/>
        <v>46014</v>
      </c>
      <c r="E78" s="52">
        <f t="shared" si="36"/>
        <v>5</v>
      </c>
      <c r="F78" s="53">
        <v>10.0</v>
      </c>
      <c r="G78" s="109">
        <v>350.0</v>
      </c>
      <c r="H78" s="108">
        <f t="shared" ref="H78:H79" si="37">G78*E78</f>
        <v>1750</v>
      </c>
      <c r="I78" s="40" t="s">
        <v>195</v>
      </c>
      <c r="J78" s="34" t="s">
        <v>375</v>
      </c>
      <c r="K78" s="43"/>
      <c r="O78" s="10" t="s">
        <v>93</v>
      </c>
    </row>
    <row r="79" ht="22.5" customHeight="1">
      <c r="A79" s="34" t="s">
        <v>376</v>
      </c>
      <c r="B79" s="35">
        <v>46020.0</v>
      </c>
      <c r="C79" s="35">
        <v>46022.0</v>
      </c>
      <c r="D79" s="68">
        <f t="shared" si="35"/>
        <v>46020</v>
      </c>
      <c r="E79" s="52">
        <f t="shared" si="36"/>
        <v>2</v>
      </c>
      <c r="F79" s="53">
        <v>10.0</v>
      </c>
      <c r="G79" s="109">
        <v>350.0</v>
      </c>
      <c r="H79" s="54">
        <f t="shared" si="37"/>
        <v>700</v>
      </c>
      <c r="I79" s="40" t="s">
        <v>195</v>
      </c>
      <c r="J79" s="34" t="s">
        <v>377</v>
      </c>
      <c r="K79" s="43"/>
      <c r="O79" s="10" t="s">
        <v>105</v>
      </c>
    </row>
    <row r="80" ht="22.5" customHeight="1">
      <c r="A80" s="28"/>
      <c r="B80" s="19"/>
      <c r="C80" s="19"/>
      <c r="G80" s="28"/>
      <c r="H80" s="42"/>
      <c r="I80" s="22"/>
      <c r="K80" s="43"/>
    </row>
    <row r="81" ht="22.5" customHeight="1">
      <c r="A81" s="28"/>
      <c r="B81" s="19"/>
      <c r="C81" s="19"/>
      <c r="H81" s="42"/>
      <c r="I81" s="22"/>
      <c r="K81" s="43"/>
    </row>
    <row r="82" ht="22.5" customHeight="1">
      <c r="B82" s="19"/>
      <c r="C82" s="19"/>
      <c r="E82" s="20"/>
      <c r="F82" s="21"/>
      <c r="G82" s="16"/>
      <c r="H82" s="42"/>
      <c r="I82" s="22"/>
      <c r="K82" s="43"/>
    </row>
    <row r="83" ht="22.5" customHeight="1">
      <c r="B83" s="19"/>
      <c r="C83" s="19"/>
      <c r="E83" s="20"/>
      <c r="F83" s="21"/>
      <c r="G83" s="16"/>
      <c r="H83" s="42"/>
      <c r="I83" s="22"/>
      <c r="K83" s="43"/>
    </row>
    <row r="84" ht="22.5" customHeight="1">
      <c r="A84" s="28"/>
      <c r="B84" s="19"/>
      <c r="C84" s="19"/>
      <c r="H84" s="42"/>
      <c r="I84" s="22"/>
      <c r="K84" s="43"/>
    </row>
    <row r="85" ht="22.5" customHeight="1">
      <c r="B85" s="19"/>
      <c r="C85" s="19"/>
      <c r="E85" s="20"/>
      <c r="F85" s="21"/>
      <c r="G85" s="16"/>
      <c r="H85" s="42"/>
      <c r="I85" s="22"/>
      <c r="K85" s="43"/>
    </row>
    <row r="86" ht="22.5" customHeight="1">
      <c r="B86" s="19"/>
      <c r="C86" s="19"/>
      <c r="E86" s="20"/>
      <c r="F86" s="21"/>
      <c r="G86" s="16"/>
      <c r="H86" s="42"/>
      <c r="I86" s="22"/>
      <c r="K86" s="43"/>
    </row>
    <row r="87" ht="22.5" customHeight="1">
      <c r="B87" s="19"/>
      <c r="C87" s="19"/>
      <c r="D87" s="23"/>
      <c r="E87" s="24"/>
      <c r="F87" s="27"/>
      <c r="H87" s="42"/>
      <c r="I87" s="22"/>
      <c r="K87" s="43"/>
    </row>
    <row r="88" ht="22.5" customHeight="1">
      <c r="B88" s="19"/>
      <c r="C88" s="19"/>
      <c r="E88" s="20"/>
      <c r="F88" s="21"/>
      <c r="G88" s="16"/>
      <c r="H88" s="42"/>
      <c r="I88" s="22"/>
      <c r="K88" s="43"/>
    </row>
    <row r="89" ht="22.5" customHeight="1">
      <c r="A89" s="28"/>
      <c r="B89" s="19"/>
      <c r="C89" s="19"/>
      <c r="G89" s="28"/>
      <c r="H89" s="42"/>
      <c r="I89" s="22"/>
      <c r="J89" s="28"/>
      <c r="K89" s="43"/>
    </row>
    <row r="90" ht="22.5" customHeight="1">
      <c r="B90" s="19"/>
      <c r="C90" s="19"/>
      <c r="D90" s="23"/>
      <c r="E90" s="20"/>
      <c r="F90" s="21"/>
      <c r="G90" s="16"/>
      <c r="H90" s="42"/>
      <c r="I90" s="22"/>
      <c r="J90" s="28"/>
      <c r="K90" s="43"/>
    </row>
    <row r="91" ht="22.5" customHeight="1">
      <c r="A91" s="28"/>
      <c r="B91" s="19"/>
      <c r="C91" s="19"/>
      <c r="G91" s="28"/>
      <c r="H91" s="42"/>
      <c r="I91" s="22"/>
      <c r="K91" s="43"/>
    </row>
    <row r="92" ht="22.5" customHeight="1">
      <c r="A92" s="28"/>
      <c r="B92" s="19"/>
      <c r="C92" s="19"/>
      <c r="H92" s="42"/>
      <c r="I92" s="22"/>
      <c r="K92" s="43"/>
    </row>
    <row r="93" ht="22.5" customHeight="1">
      <c r="B93" s="19"/>
      <c r="C93" s="19"/>
      <c r="E93" s="20"/>
      <c r="F93" s="21"/>
      <c r="G93" s="16"/>
      <c r="H93" s="42"/>
      <c r="I93" s="22"/>
      <c r="K93" s="43"/>
    </row>
    <row r="94" ht="22.5" customHeight="1">
      <c r="B94" s="19"/>
      <c r="C94" s="19"/>
      <c r="E94" s="20"/>
      <c r="F94" s="21"/>
      <c r="G94" s="16"/>
      <c r="H94" s="42"/>
      <c r="I94" s="22"/>
      <c r="K94" s="43"/>
    </row>
    <row r="95" ht="22.5" customHeight="1">
      <c r="A95" s="28"/>
      <c r="B95" s="19"/>
      <c r="C95" s="19"/>
      <c r="H95" s="42"/>
      <c r="I95" s="22"/>
      <c r="K95" s="43"/>
    </row>
    <row r="96" ht="22.5" customHeight="1">
      <c r="B96" s="19"/>
      <c r="C96" s="19"/>
      <c r="E96" s="20"/>
      <c r="F96" s="21"/>
      <c r="G96" s="16"/>
      <c r="H96" s="42"/>
      <c r="I96" s="22"/>
      <c r="K96" s="43"/>
    </row>
    <row r="97" ht="22.5" customHeight="1">
      <c r="B97" s="19"/>
      <c r="C97" s="19"/>
      <c r="E97" s="20"/>
      <c r="F97" s="21"/>
      <c r="G97" s="16"/>
      <c r="H97" s="42"/>
      <c r="I97" s="22"/>
      <c r="K97" s="43"/>
    </row>
    <row r="98" ht="22.5" customHeight="1">
      <c r="B98" s="19"/>
      <c r="C98" s="19"/>
      <c r="D98" s="23"/>
      <c r="E98" s="24"/>
      <c r="F98" s="27"/>
      <c r="H98" s="42"/>
      <c r="I98" s="22"/>
      <c r="K98" s="43"/>
    </row>
    <row r="99" ht="22.5" customHeight="1">
      <c r="B99" s="19"/>
      <c r="C99" s="19"/>
      <c r="E99" s="20"/>
      <c r="F99" s="21"/>
      <c r="G99" s="16"/>
      <c r="H99" s="42"/>
      <c r="I99" s="22"/>
      <c r="K99" s="43"/>
    </row>
    <row r="100" ht="22.5" customHeight="1">
      <c r="A100" s="28"/>
      <c r="B100" s="19"/>
      <c r="C100" s="19"/>
      <c r="G100" s="28"/>
      <c r="H100" s="42"/>
      <c r="I100" s="22"/>
      <c r="J100" s="28"/>
      <c r="K100" s="43"/>
    </row>
    <row r="101" ht="22.5" customHeight="1">
      <c r="B101" s="19"/>
      <c r="C101" s="19"/>
      <c r="E101" s="20"/>
      <c r="F101" s="21"/>
      <c r="G101" s="16"/>
      <c r="H101" s="42"/>
      <c r="I101" s="22"/>
      <c r="J101" s="28"/>
      <c r="K101" s="43"/>
    </row>
    <row r="102" ht="22.5" customHeight="1">
      <c r="A102" s="28"/>
      <c r="B102" s="19"/>
      <c r="C102" s="19"/>
      <c r="D102" s="28"/>
      <c r="G102" s="28"/>
      <c r="H102" s="42"/>
      <c r="I102" s="22"/>
      <c r="J102" s="28"/>
      <c r="K102" s="43"/>
    </row>
    <row r="103" ht="22.5" customHeight="1">
      <c r="A103" s="28"/>
      <c r="B103" s="19"/>
      <c r="C103" s="19"/>
      <c r="H103" s="42"/>
      <c r="I103" s="22"/>
      <c r="K103" s="43"/>
    </row>
    <row r="104" ht="22.5" customHeight="1">
      <c r="B104" s="19"/>
      <c r="C104" s="19"/>
      <c r="E104" s="20"/>
      <c r="F104" s="21"/>
      <c r="G104" s="16"/>
      <c r="H104" s="42"/>
      <c r="I104" s="22"/>
      <c r="K104" s="43"/>
    </row>
    <row r="105" ht="22.5" customHeight="1">
      <c r="B105" s="19"/>
      <c r="C105" s="19"/>
      <c r="E105" s="20"/>
      <c r="F105" s="21"/>
      <c r="G105" s="16"/>
      <c r="H105" s="42"/>
      <c r="I105" s="22"/>
      <c r="K105" s="43"/>
    </row>
    <row r="106" ht="22.5" customHeight="1">
      <c r="B106" s="19"/>
      <c r="C106" s="19"/>
      <c r="D106" s="23"/>
      <c r="E106" s="24"/>
      <c r="F106" s="27"/>
      <c r="H106" s="42"/>
      <c r="I106" s="22"/>
      <c r="K106" s="43"/>
    </row>
    <row r="107" ht="22.5" customHeight="1">
      <c r="B107" s="19"/>
      <c r="C107" s="19"/>
      <c r="E107" s="20"/>
      <c r="F107" s="21"/>
      <c r="G107" s="16"/>
      <c r="H107" s="42"/>
      <c r="I107" s="22"/>
      <c r="K107" s="43"/>
    </row>
    <row r="108" ht="22.5" customHeight="1">
      <c r="B108" s="19"/>
      <c r="C108" s="19"/>
      <c r="D108" s="23"/>
      <c r="E108" s="24"/>
      <c r="F108" s="27"/>
      <c r="H108" s="42"/>
      <c r="I108" s="22"/>
      <c r="K108" s="43"/>
    </row>
    <row r="109" ht="22.5" customHeight="1">
      <c r="B109" s="19"/>
      <c r="C109" s="19"/>
      <c r="E109" s="20"/>
      <c r="F109" s="21"/>
      <c r="G109" s="16"/>
      <c r="H109" s="42"/>
      <c r="I109" s="22"/>
      <c r="J109" s="28"/>
      <c r="K109" s="43"/>
    </row>
    <row r="110" ht="22.5" customHeight="1">
      <c r="B110" s="19"/>
      <c r="C110" s="19"/>
      <c r="E110" s="20"/>
      <c r="F110" s="21"/>
      <c r="G110" s="16"/>
      <c r="H110" s="42"/>
      <c r="I110" s="22"/>
      <c r="K110" s="43"/>
    </row>
    <row r="111" ht="22.5" customHeight="1">
      <c r="B111" s="19"/>
      <c r="C111" s="19"/>
      <c r="E111" s="20"/>
      <c r="F111" s="21"/>
      <c r="G111" s="16"/>
      <c r="H111" s="42"/>
      <c r="I111" s="22"/>
      <c r="K111" s="43"/>
    </row>
    <row r="112" ht="22.5" customHeight="1">
      <c r="B112" s="19"/>
      <c r="C112" s="19"/>
      <c r="E112" s="20"/>
      <c r="F112" s="21"/>
      <c r="G112" s="16"/>
      <c r="H112" s="42"/>
      <c r="I112" s="22"/>
      <c r="K112" s="43"/>
    </row>
    <row r="113" ht="22.5" customHeight="1">
      <c r="B113" s="19"/>
      <c r="C113" s="19"/>
      <c r="D113" s="23"/>
      <c r="E113" s="24"/>
      <c r="F113" s="27"/>
      <c r="H113" s="42"/>
      <c r="I113" s="22"/>
      <c r="K113" s="43"/>
    </row>
    <row r="114" ht="22.5" customHeight="1">
      <c r="B114" s="19"/>
      <c r="C114" s="19"/>
      <c r="E114" s="20"/>
      <c r="F114" s="21"/>
      <c r="G114" s="16"/>
      <c r="H114" s="42"/>
      <c r="I114" s="22"/>
      <c r="K114" s="43"/>
    </row>
    <row r="115" ht="22.5" customHeight="1">
      <c r="B115" s="19"/>
      <c r="C115" s="19"/>
      <c r="D115" s="23"/>
      <c r="E115" s="24"/>
      <c r="F115" s="27"/>
      <c r="H115" s="42"/>
      <c r="I115" s="22"/>
      <c r="K115" s="43"/>
    </row>
    <row r="116" ht="22.5" customHeight="1">
      <c r="B116" s="19"/>
      <c r="C116" s="19"/>
      <c r="D116" s="100"/>
      <c r="H116" s="42"/>
      <c r="I116" s="22"/>
      <c r="K116" s="43"/>
    </row>
    <row r="117" ht="22.5" customHeight="1">
      <c r="B117" s="19"/>
      <c r="C117" s="19"/>
      <c r="D117" s="100"/>
      <c r="H117" s="42"/>
      <c r="I117" s="22"/>
      <c r="K117" s="43"/>
    </row>
    <row r="118" ht="22.5" customHeight="1">
      <c r="B118" s="19"/>
      <c r="C118" s="19"/>
      <c r="D118" s="100"/>
      <c r="H118" s="42"/>
      <c r="I118" s="22"/>
      <c r="K118" s="43"/>
    </row>
    <row r="119" ht="22.5" customHeight="1">
      <c r="B119" s="19"/>
      <c r="C119" s="19"/>
      <c r="D119" s="100"/>
      <c r="H119" s="42"/>
      <c r="I119" s="22"/>
      <c r="K119" s="43"/>
    </row>
    <row r="120" ht="22.5" customHeight="1">
      <c r="B120" s="19"/>
      <c r="C120" s="19"/>
      <c r="D120" s="100"/>
      <c r="H120" s="42"/>
      <c r="I120" s="22"/>
      <c r="K120" s="43"/>
    </row>
    <row r="121" ht="22.5" customHeight="1">
      <c r="B121" s="19"/>
      <c r="C121" s="19"/>
      <c r="D121" s="100"/>
      <c r="H121" s="42"/>
      <c r="I121" s="22"/>
      <c r="K121" s="43"/>
    </row>
    <row r="122" ht="22.5" customHeight="1">
      <c r="B122" s="19"/>
      <c r="C122" s="19"/>
      <c r="D122" s="100"/>
      <c r="H122" s="42"/>
      <c r="I122" s="22"/>
      <c r="K122" s="43"/>
    </row>
    <row r="123" ht="22.5" customHeight="1">
      <c r="B123" s="19"/>
      <c r="C123" s="19"/>
      <c r="D123" s="100"/>
      <c r="H123" s="42"/>
      <c r="I123" s="22"/>
      <c r="K123" s="43"/>
    </row>
    <row r="124" ht="22.5" customHeight="1">
      <c r="B124" s="19"/>
      <c r="C124" s="19"/>
      <c r="D124" s="100"/>
      <c r="H124" s="42"/>
      <c r="I124" s="22"/>
      <c r="K124" s="43"/>
    </row>
    <row r="125" ht="22.5" customHeight="1">
      <c r="B125" s="19"/>
      <c r="C125" s="19"/>
      <c r="D125" s="100"/>
      <c r="H125" s="42"/>
      <c r="I125" s="22"/>
      <c r="K125" s="43"/>
    </row>
    <row r="126" ht="22.5" customHeight="1">
      <c r="B126" s="19"/>
      <c r="C126" s="19"/>
      <c r="D126" s="100"/>
      <c r="H126" s="42"/>
      <c r="I126" s="22"/>
      <c r="K126" s="43"/>
    </row>
    <row r="127" ht="22.5" customHeight="1">
      <c r="B127" s="19"/>
      <c r="C127" s="19"/>
      <c r="D127" s="100"/>
      <c r="H127" s="42"/>
      <c r="I127" s="22"/>
      <c r="K127" s="43"/>
    </row>
    <row r="128" ht="22.5" customHeight="1">
      <c r="B128" s="19"/>
      <c r="C128" s="19"/>
      <c r="D128" s="100"/>
      <c r="H128" s="42"/>
      <c r="I128" s="22"/>
      <c r="K128" s="43"/>
    </row>
    <row r="129" ht="22.5" customHeight="1">
      <c r="B129" s="19"/>
      <c r="C129" s="19"/>
      <c r="D129" s="100"/>
      <c r="H129" s="42"/>
      <c r="I129" s="22"/>
      <c r="K129" s="43"/>
    </row>
    <row r="130" ht="22.5" customHeight="1">
      <c r="B130" s="19"/>
      <c r="C130" s="19"/>
      <c r="D130" s="100"/>
      <c r="H130" s="42"/>
      <c r="I130" s="22"/>
      <c r="K130" s="43"/>
    </row>
    <row r="131" ht="22.5" customHeight="1">
      <c r="B131" s="19"/>
      <c r="C131" s="19"/>
      <c r="D131" s="100"/>
      <c r="H131" s="42"/>
      <c r="I131" s="22"/>
      <c r="K131" s="43"/>
    </row>
    <row r="132" ht="22.5" customHeight="1">
      <c r="B132" s="19"/>
      <c r="C132" s="19"/>
      <c r="D132" s="100"/>
      <c r="H132" s="42"/>
      <c r="I132" s="22"/>
      <c r="K132" s="43"/>
    </row>
    <row r="133" ht="22.5" customHeight="1">
      <c r="B133" s="19"/>
      <c r="C133" s="19"/>
      <c r="D133" s="100"/>
      <c r="H133" s="42"/>
      <c r="I133" s="22"/>
      <c r="K133" s="43"/>
    </row>
    <row r="134" ht="22.5" customHeight="1">
      <c r="B134" s="19"/>
      <c r="C134" s="19"/>
      <c r="D134" s="100"/>
      <c r="H134" s="42"/>
      <c r="I134" s="22"/>
      <c r="K134" s="43"/>
    </row>
    <row r="135" ht="22.5" customHeight="1">
      <c r="B135" s="19"/>
      <c r="C135" s="19"/>
      <c r="D135" s="100"/>
      <c r="H135" s="42"/>
      <c r="I135" s="22"/>
      <c r="K135" s="43"/>
    </row>
    <row r="136" ht="22.5" customHeight="1">
      <c r="B136" s="19"/>
      <c r="C136" s="19"/>
      <c r="D136" s="100"/>
      <c r="H136" s="42"/>
      <c r="I136" s="22"/>
      <c r="K136" s="43"/>
    </row>
    <row r="137" ht="22.5" customHeight="1">
      <c r="B137" s="19"/>
      <c r="C137" s="19"/>
      <c r="D137" s="100"/>
      <c r="H137" s="42"/>
      <c r="I137" s="22"/>
      <c r="K137" s="43"/>
    </row>
    <row r="138" ht="22.5" customHeight="1">
      <c r="B138" s="19"/>
      <c r="C138" s="19"/>
      <c r="D138" s="100"/>
      <c r="H138" s="42"/>
      <c r="I138" s="22"/>
      <c r="K138" s="43"/>
    </row>
    <row r="139" ht="22.5" customHeight="1">
      <c r="B139" s="19"/>
      <c r="C139" s="19"/>
      <c r="D139" s="100"/>
      <c r="H139" s="42"/>
      <c r="I139" s="22"/>
      <c r="K139" s="43"/>
    </row>
    <row r="140" ht="22.5" customHeight="1">
      <c r="B140" s="19"/>
      <c r="C140" s="19"/>
      <c r="D140" s="100"/>
      <c r="H140" s="42"/>
      <c r="I140" s="22"/>
      <c r="K140" s="43"/>
    </row>
    <row r="141" ht="22.5" customHeight="1">
      <c r="B141" s="19"/>
      <c r="C141" s="19"/>
      <c r="D141" s="100"/>
      <c r="H141" s="42"/>
      <c r="I141" s="22"/>
      <c r="K141" s="43"/>
    </row>
    <row r="142" ht="22.5" customHeight="1">
      <c r="B142" s="19"/>
      <c r="C142" s="19"/>
      <c r="D142" s="100"/>
      <c r="H142" s="42"/>
      <c r="I142" s="22"/>
      <c r="K142" s="43"/>
    </row>
    <row r="143" ht="22.5" customHeight="1">
      <c r="B143" s="19"/>
      <c r="C143" s="19"/>
      <c r="D143" s="100"/>
      <c r="H143" s="42"/>
      <c r="I143" s="22"/>
      <c r="K143" s="43"/>
    </row>
    <row r="144" ht="22.5" customHeight="1">
      <c r="B144" s="19"/>
      <c r="C144" s="19"/>
      <c r="D144" s="100"/>
      <c r="H144" s="42"/>
      <c r="I144" s="22"/>
      <c r="K144" s="43"/>
    </row>
    <row r="145" ht="22.5" customHeight="1">
      <c r="B145" s="19"/>
      <c r="C145" s="19"/>
      <c r="D145" s="100"/>
      <c r="H145" s="42"/>
      <c r="I145" s="22"/>
      <c r="K145" s="43"/>
    </row>
    <row r="146" ht="22.5" customHeight="1">
      <c r="B146" s="19"/>
      <c r="C146" s="19"/>
      <c r="D146" s="100"/>
      <c r="H146" s="42"/>
      <c r="I146" s="22"/>
      <c r="K146" s="43"/>
    </row>
    <row r="147" ht="22.5" customHeight="1">
      <c r="B147" s="19"/>
      <c r="C147" s="19"/>
      <c r="D147" s="100"/>
      <c r="H147" s="42"/>
      <c r="I147" s="22"/>
      <c r="K147" s="43"/>
    </row>
    <row r="148" ht="22.5" customHeight="1">
      <c r="B148" s="19"/>
      <c r="C148" s="19"/>
      <c r="D148" s="100"/>
      <c r="H148" s="42"/>
      <c r="I148" s="22"/>
      <c r="K148" s="43"/>
    </row>
    <row r="149" ht="22.5" customHeight="1">
      <c r="B149" s="19"/>
      <c r="C149" s="19"/>
      <c r="D149" s="100"/>
      <c r="H149" s="42"/>
      <c r="I149" s="22"/>
      <c r="K149" s="43"/>
    </row>
    <row r="150" ht="22.5" customHeight="1">
      <c r="B150" s="19"/>
      <c r="C150" s="19"/>
      <c r="D150" s="100"/>
      <c r="H150" s="42"/>
      <c r="I150" s="22"/>
      <c r="K150" s="43"/>
    </row>
    <row r="151" ht="22.5" customHeight="1">
      <c r="B151" s="19"/>
      <c r="C151" s="19"/>
      <c r="D151" s="100"/>
      <c r="H151" s="42"/>
      <c r="I151" s="22"/>
      <c r="K151" s="43"/>
    </row>
    <row r="152" ht="22.5" customHeight="1">
      <c r="B152" s="19"/>
      <c r="C152" s="19"/>
      <c r="D152" s="100"/>
      <c r="H152" s="42"/>
      <c r="I152" s="22"/>
      <c r="K152" s="43"/>
    </row>
    <row r="153" ht="22.5" customHeight="1">
      <c r="B153" s="19"/>
      <c r="C153" s="19"/>
      <c r="D153" s="100"/>
      <c r="H153" s="42"/>
      <c r="I153" s="22"/>
      <c r="K153" s="43"/>
    </row>
    <row r="154" ht="22.5" customHeight="1">
      <c r="B154" s="19"/>
      <c r="C154" s="19"/>
      <c r="D154" s="100"/>
      <c r="H154" s="42"/>
      <c r="I154" s="22"/>
      <c r="K154" s="43"/>
    </row>
    <row r="155" ht="22.5" customHeight="1">
      <c r="B155" s="19"/>
      <c r="C155" s="19"/>
      <c r="D155" s="100"/>
      <c r="H155" s="42"/>
      <c r="I155" s="22"/>
      <c r="K155" s="43"/>
    </row>
    <row r="156" ht="22.5" customHeight="1">
      <c r="B156" s="19"/>
      <c r="C156" s="19"/>
      <c r="D156" s="100"/>
      <c r="H156" s="42"/>
      <c r="I156" s="22"/>
      <c r="K156" s="43"/>
    </row>
    <row r="157" ht="22.5" customHeight="1">
      <c r="B157" s="19"/>
      <c r="C157" s="19"/>
      <c r="D157" s="100"/>
      <c r="H157" s="42"/>
      <c r="I157" s="22"/>
      <c r="K157" s="43"/>
    </row>
    <row r="158" ht="22.5" customHeight="1">
      <c r="B158" s="19"/>
      <c r="C158" s="19"/>
      <c r="D158" s="100"/>
      <c r="H158" s="42"/>
      <c r="I158" s="22"/>
      <c r="K158" s="43"/>
    </row>
    <row r="159" ht="22.5" customHeight="1">
      <c r="B159" s="19"/>
      <c r="C159" s="19"/>
      <c r="D159" s="100"/>
      <c r="H159" s="42"/>
      <c r="I159" s="22"/>
      <c r="K159" s="43"/>
    </row>
    <row r="160" ht="22.5" customHeight="1">
      <c r="B160" s="19"/>
      <c r="C160" s="19"/>
      <c r="D160" s="100"/>
      <c r="H160" s="42"/>
      <c r="I160" s="22"/>
      <c r="K160" s="43"/>
    </row>
    <row r="161" ht="22.5" customHeight="1">
      <c r="B161" s="19"/>
      <c r="C161" s="19"/>
      <c r="D161" s="100"/>
      <c r="H161" s="42"/>
      <c r="I161" s="22"/>
      <c r="K161" s="43"/>
    </row>
    <row r="162" ht="22.5" customHeight="1">
      <c r="B162" s="19"/>
      <c r="C162" s="19"/>
      <c r="D162" s="100"/>
      <c r="H162" s="42"/>
      <c r="I162" s="22"/>
      <c r="K162" s="43"/>
    </row>
    <row r="163" ht="22.5" customHeight="1">
      <c r="B163" s="19"/>
      <c r="C163" s="19"/>
      <c r="D163" s="100"/>
      <c r="H163" s="42"/>
      <c r="I163" s="22"/>
      <c r="K163" s="43"/>
    </row>
    <row r="164" ht="22.5" customHeight="1">
      <c r="B164" s="19"/>
      <c r="C164" s="19"/>
      <c r="D164" s="100"/>
      <c r="H164" s="42"/>
      <c r="I164" s="22"/>
      <c r="K164" s="43"/>
    </row>
    <row r="165" ht="22.5" customHeight="1">
      <c r="B165" s="19"/>
      <c r="C165" s="19"/>
      <c r="D165" s="100"/>
      <c r="H165" s="42"/>
      <c r="I165" s="22"/>
      <c r="K165" s="43"/>
    </row>
    <row r="166" ht="22.5" customHeight="1">
      <c r="B166" s="19"/>
      <c r="C166" s="19"/>
      <c r="D166" s="100"/>
      <c r="H166" s="42"/>
      <c r="I166" s="22"/>
      <c r="K166" s="43"/>
    </row>
    <row r="167" ht="22.5" customHeight="1">
      <c r="B167" s="19"/>
      <c r="C167" s="19"/>
      <c r="D167" s="100"/>
      <c r="H167" s="42"/>
      <c r="I167" s="22"/>
      <c r="K167" s="43"/>
    </row>
    <row r="168" ht="22.5" customHeight="1">
      <c r="B168" s="19"/>
      <c r="C168" s="19"/>
      <c r="D168" s="100"/>
      <c r="H168" s="42"/>
      <c r="I168" s="22"/>
      <c r="K168" s="43"/>
    </row>
    <row r="169" ht="22.5" customHeight="1">
      <c r="B169" s="19"/>
      <c r="C169" s="19"/>
      <c r="D169" s="100"/>
      <c r="H169" s="42"/>
      <c r="I169" s="22"/>
      <c r="K169" s="43"/>
    </row>
    <row r="170" ht="22.5" customHeight="1">
      <c r="B170" s="19"/>
      <c r="C170" s="19"/>
      <c r="D170" s="100"/>
      <c r="H170" s="42"/>
      <c r="I170" s="22"/>
      <c r="K170" s="43"/>
    </row>
    <row r="171" ht="22.5" customHeight="1">
      <c r="B171" s="19"/>
      <c r="C171" s="19"/>
      <c r="D171" s="100"/>
      <c r="H171" s="42"/>
      <c r="I171" s="22"/>
      <c r="K171" s="43"/>
    </row>
    <row r="172" ht="22.5" customHeight="1">
      <c r="B172" s="19"/>
      <c r="C172" s="19"/>
      <c r="D172" s="100"/>
      <c r="H172" s="42"/>
      <c r="I172" s="22"/>
      <c r="K172" s="43"/>
    </row>
    <row r="173" ht="22.5" customHeight="1">
      <c r="B173" s="19"/>
      <c r="C173" s="19"/>
      <c r="D173" s="100"/>
      <c r="H173" s="42"/>
      <c r="I173" s="22"/>
      <c r="K173" s="43"/>
    </row>
    <row r="174" ht="22.5" customHeight="1">
      <c r="B174" s="19"/>
      <c r="C174" s="19"/>
      <c r="D174" s="100"/>
      <c r="H174" s="42"/>
      <c r="I174" s="22"/>
      <c r="K174" s="43"/>
    </row>
    <row r="175" ht="22.5" customHeight="1">
      <c r="B175" s="19"/>
      <c r="C175" s="19"/>
      <c r="D175" s="100"/>
      <c r="H175" s="42"/>
      <c r="I175" s="22"/>
      <c r="K175" s="43"/>
    </row>
    <row r="176" ht="22.5" customHeight="1">
      <c r="B176" s="19"/>
      <c r="C176" s="19"/>
      <c r="D176" s="100"/>
      <c r="H176" s="42"/>
      <c r="I176" s="22"/>
      <c r="K176" s="43"/>
    </row>
    <row r="177" ht="22.5" customHeight="1">
      <c r="B177" s="19"/>
      <c r="C177" s="19"/>
      <c r="D177" s="100"/>
      <c r="H177" s="42"/>
      <c r="I177" s="22"/>
      <c r="K177" s="43"/>
    </row>
    <row r="178" ht="22.5" customHeight="1">
      <c r="B178" s="19"/>
      <c r="C178" s="19"/>
      <c r="D178" s="100"/>
      <c r="H178" s="42"/>
      <c r="I178" s="22"/>
      <c r="K178" s="43"/>
    </row>
    <row r="179" ht="22.5" customHeight="1">
      <c r="B179" s="19"/>
      <c r="C179" s="19"/>
      <c r="D179" s="100"/>
      <c r="H179" s="42"/>
      <c r="I179" s="22"/>
      <c r="K179" s="43"/>
    </row>
    <row r="180" ht="22.5" customHeight="1">
      <c r="B180" s="19"/>
      <c r="C180" s="19"/>
      <c r="D180" s="100"/>
      <c r="H180" s="42"/>
      <c r="I180" s="22"/>
      <c r="K180" s="43"/>
    </row>
    <row r="181" ht="22.5" customHeight="1">
      <c r="B181" s="19"/>
      <c r="C181" s="19"/>
      <c r="D181" s="100"/>
      <c r="H181" s="42"/>
      <c r="I181" s="22"/>
      <c r="K181" s="43"/>
    </row>
    <row r="182" ht="22.5" customHeight="1">
      <c r="B182" s="19"/>
      <c r="C182" s="19"/>
      <c r="D182" s="100"/>
      <c r="H182" s="42"/>
      <c r="I182" s="22"/>
      <c r="K182" s="43"/>
    </row>
    <row r="183" ht="22.5" customHeight="1">
      <c r="B183" s="19"/>
      <c r="C183" s="19"/>
      <c r="D183" s="100"/>
      <c r="H183" s="42"/>
      <c r="I183" s="22"/>
      <c r="K183" s="43"/>
    </row>
    <row r="184" ht="22.5" customHeight="1">
      <c r="B184" s="19"/>
      <c r="C184" s="19"/>
      <c r="D184" s="100"/>
      <c r="H184" s="42"/>
      <c r="I184" s="22"/>
      <c r="K184" s="43"/>
    </row>
    <row r="185" ht="22.5" customHeight="1">
      <c r="B185" s="19"/>
      <c r="C185" s="19"/>
      <c r="D185" s="100"/>
      <c r="H185" s="42"/>
      <c r="I185" s="22"/>
      <c r="K185" s="43"/>
    </row>
    <row r="186" ht="22.5" customHeight="1">
      <c r="B186" s="19"/>
      <c r="C186" s="19"/>
      <c r="D186" s="100"/>
      <c r="H186" s="42"/>
      <c r="I186" s="22"/>
      <c r="K186" s="43"/>
    </row>
    <row r="187" ht="22.5" customHeight="1">
      <c r="B187" s="19"/>
      <c r="C187" s="19"/>
      <c r="D187" s="100"/>
      <c r="H187" s="42"/>
      <c r="I187" s="22"/>
      <c r="K187" s="43"/>
    </row>
    <row r="188" ht="22.5" customHeight="1">
      <c r="B188" s="19"/>
      <c r="C188" s="19"/>
      <c r="D188" s="100"/>
      <c r="H188" s="42"/>
      <c r="I188" s="22"/>
      <c r="K188" s="43"/>
    </row>
    <row r="189" ht="22.5" customHeight="1">
      <c r="B189" s="19"/>
      <c r="C189" s="19"/>
      <c r="D189" s="100"/>
      <c r="H189" s="42"/>
      <c r="I189" s="22"/>
      <c r="K189" s="43"/>
    </row>
    <row r="190" ht="22.5" customHeight="1">
      <c r="B190" s="19"/>
      <c r="C190" s="19"/>
      <c r="D190" s="100"/>
      <c r="H190" s="42"/>
      <c r="I190" s="22"/>
      <c r="K190" s="43"/>
    </row>
    <row r="191" ht="22.5" customHeight="1">
      <c r="B191" s="19"/>
      <c r="C191" s="19"/>
      <c r="D191" s="100"/>
      <c r="H191" s="42"/>
      <c r="I191" s="22"/>
      <c r="K191" s="43"/>
    </row>
    <row r="192" ht="22.5" customHeight="1">
      <c r="B192" s="19"/>
      <c r="C192" s="19"/>
      <c r="D192" s="100"/>
      <c r="H192" s="42"/>
      <c r="I192" s="22"/>
      <c r="K192" s="43"/>
    </row>
    <row r="193" ht="22.5" customHeight="1">
      <c r="B193" s="19"/>
      <c r="C193" s="19"/>
      <c r="D193" s="100"/>
      <c r="H193" s="42"/>
      <c r="I193" s="22"/>
      <c r="K193" s="43"/>
    </row>
    <row r="194" ht="22.5" customHeight="1">
      <c r="B194" s="19"/>
      <c r="C194" s="19"/>
      <c r="D194" s="100"/>
      <c r="H194" s="42"/>
      <c r="I194" s="22"/>
      <c r="K194" s="43"/>
    </row>
    <row r="195" ht="22.5" customHeight="1">
      <c r="B195" s="19"/>
      <c r="C195" s="19"/>
      <c r="D195" s="100"/>
      <c r="H195" s="42"/>
      <c r="I195" s="22"/>
      <c r="K195" s="43"/>
    </row>
    <row r="196" ht="22.5" customHeight="1">
      <c r="B196" s="19"/>
      <c r="C196" s="19"/>
      <c r="D196" s="100"/>
      <c r="H196" s="42"/>
      <c r="I196" s="22"/>
      <c r="K196" s="43"/>
    </row>
    <row r="197" ht="22.5" customHeight="1">
      <c r="B197" s="19"/>
      <c r="C197" s="19"/>
      <c r="D197" s="100"/>
      <c r="H197" s="42"/>
      <c r="I197" s="22"/>
      <c r="K197" s="43"/>
    </row>
    <row r="198" ht="22.5" customHeight="1">
      <c r="B198" s="19"/>
      <c r="C198" s="19"/>
      <c r="D198" s="100"/>
      <c r="H198" s="42"/>
      <c r="I198" s="22"/>
      <c r="K198" s="43"/>
    </row>
    <row r="199" ht="22.5" customHeight="1">
      <c r="B199" s="19"/>
      <c r="C199" s="19"/>
      <c r="D199" s="100"/>
      <c r="H199" s="42"/>
      <c r="I199" s="22"/>
      <c r="K199" s="43"/>
    </row>
    <row r="200" ht="22.5" customHeight="1">
      <c r="B200" s="19"/>
      <c r="C200" s="19"/>
      <c r="D200" s="100"/>
      <c r="H200" s="42"/>
      <c r="I200" s="22"/>
      <c r="K200" s="43"/>
    </row>
    <row r="201" ht="22.5" customHeight="1">
      <c r="B201" s="19"/>
      <c r="C201" s="19"/>
      <c r="D201" s="100"/>
      <c r="H201" s="42"/>
      <c r="I201" s="22"/>
      <c r="K201" s="43"/>
    </row>
    <row r="202" ht="22.5" customHeight="1">
      <c r="B202" s="19"/>
      <c r="C202" s="19"/>
      <c r="D202" s="100"/>
      <c r="H202" s="42"/>
      <c r="I202" s="22"/>
      <c r="K202" s="43"/>
    </row>
    <row r="203" ht="22.5" customHeight="1">
      <c r="B203" s="19"/>
      <c r="C203" s="19"/>
      <c r="D203" s="100"/>
      <c r="H203" s="42"/>
      <c r="I203" s="22"/>
      <c r="K203" s="43"/>
    </row>
    <row r="204" ht="22.5" customHeight="1">
      <c r="B204" s="19"/>
      <c r="C204" s="19"/>
      <c r="D204" s="100"/>
      <c r="H204" s="42"/>
      <c r="I204" s="22"/>
      <c r="K204" s="43"/>
    </row>
    <row r="205" ht="22.5" customHeight="1">
      <c r="B205" s="19"/>
      <c r="C205" s="19"/>
      <c r="D205" s="100"/>
      <c r="H205" s="42"/>
      <c r="I205" s="22"/>
      <c r="K205" s="43"/>
    </row>
    <row r="206" ht="22.5" customHeight="1">
      <c r="B206" s="19"/>
      <c r="C206" s="19"/>
      <c r="D206" s="100"/>
      <c r="H206" s="42"/>
      <c r="I206" s="22"/>
      <c r="K206" s="43"/>
    </row>
    <row r="207" ht="22.5" customHeight="1">
      <c r="B207" s="19"/>
      <c r="C207" s="19"/>
      <c r="D207" s="100"/>
      <c r="H207" s="42"/>
      <c r="I207" s="22"/>
      <c r="K207" s="43"/>
    </row>
    <row r="208" ht="22.5" customHeight="1">
      <c r="B208" s="19"/>
      <c r="C208" s="19"/>
      <c r="D208" s="100"/>
      <c r="H208" s="42"/>
      <c r="I208" s="22"/>
      <c r="K208" s="43"/>
    </row>
    <row r="209" ht="22.5" customHeight="1">
      <c r="B209" s="19"/>
      <c r="C209" s="19"/>
      <c r="D209" s="100"/>
      <c r="H209" s="42"/>
      <c r="I209" s="22"/>
      <c r="K209" s="43"/>
    </row>
    <row r="210" ht="22.5" customHeight="1">
      <c r="B210" s="19"/>
      <c r="C210" s="19"/>
      <c r="D210" s="100"/>
      <c r="H210" s="42"/>
      <c r="I210" s="22"/>
      <c r="K210" s="43"/>
    </row>
    <row r="211" ht="22.5" customHeight="1">
      <c r="B211" s="19"/>
      <c r="C211" s="19"/>
      <c r="D211" s="100"/>
      <c r="H211" s="42"/>
      <c r="I211" s="22"/>
      <c r="K211" s="43"/>
    </row>
    <row r="212" ht="22.5" customHeight="1">
      <c r="B212" s="19"/>
      <c r="C212" s="19"/>
      <c r="D212" s="100"/>
      <c r="H212" s="42"/>
      <c r="I212" s="22"/>
      <c r="K212" s="43"/>
    </row>
    <row r="213" ht="22.5" customHeight="1">
      <c r="B213" s="19"/>
      <c r="C213" s="19"/>
      <c r="D213" s="100"/>
      <c r="H213" s="42"/>
      <c r="I213" s="22"/>
      <c r="K213" s="43"/>
    </row>
    <row r="214" ht="22.5" customHeight="1">
      <c r="B214" s="19"/>
      <c r="C214" s="19"/>
      <c r="D214" s="100"/>
      <c r="H214" s="42"/>
      <c r="I214" s="22"/>
      <c r="K214" s="43"/>
    </row>
    <row r="215" ht="22.5" customHeight="1">
      <c r="B215" s="19"/>
      <c r="C215" s="19"/>
      <c r="D215" s="100"/>
      <c r="H215" s="42"/>
      <c r="I215" s="22"/>
      <c r="K215" s="43"/>
    </row>
    <row r="216" ht="22.5" customHeight="1">
      <c r="B216" s="19"/>
      <c r="C216" s="19"/>
      <c r="D216" s="100"/>
      <c r="H216" s="42"/>
      <c r="I216" s="22"/>
      <c r="K216" s="43"/>
    </row>
    <row r="217" ht="22.5" customHeight="1">
      <c r="B217" s="19"/>
      <c r="C217" s="19"/>
      <c r="D217" s="100"/>
      <c r="H217" s="42"/>
      <c r="I217" s="22"/>
      <c r="K217" s="43"/>
    </row>
    <row r="218" ht="22.5" customHeight="1">
      <c r="B218" s="19"/>
      <c r="C218" s="19"/>
      <c r="D218" s="100"/>
      <c r="H218" s="42"/>
      <c r="I218" s="22"/>
      <c r="K218" s="43"/>
    </row>
    <row r="219" ht="22.5" customHeight="1">
      <c r="B219" s="19"/>
      <c r="C219" s="19"/>
      <c r="D219" s="100"/>
      <c r="H219" s="42"/>
      <c r="I219" s="22"/>
      <c r="K219" s="43"/>
    </row>
    <row r="220" ht="22.5" customHeight="1">
      <c r="B220" s="19"/>
      <c r="C220" s="19"/>
      <c r="D220" s="100"/>
      <c r="H220" s="42"/>
      <c r="I220" s="22"/>
      <c r="K220" s="43"/>
    </row>
    <row r="221" ht="22.5" customHeight="1">
      <c r="B221" s="19"/>
      <c r="C221" s="19"/>
      <c r="D221" s="100"/>
      <c r="H221" s="42"/>
      <c r="I221" s="22"/>
      <c r="K221" s="43"/>
    </row>
    <row r="222" ht="22.5" customHeight="1">
      <c r="B222" s="19"/>
      <c r="C222" s="19"/>
      <c r="D222" s="100"/>
      <c r="H222" s="42"/>
      <c r="I222" s="22"/>
      <c r="K222" s="43"/>
    </row>
    <row r="223" ht="22.5" customHeight="1">
      <c r="B223" s="19"/>
      <c r="C223" s="19"/>
      <c r="D223" s="100"/>
      <c r="H223" s="42"/>
      <c r="I223" s="22"/>
      <c r="K223" s="43"/>
    </row>
    <row r="224" ht="22.5" customHeight="1">
      <c r="B224" s="19"/>
      <c r="C224" s="19"/>
      <c r="D224" s="100"/>
      <c r="H224" s="42"/>
      <c r="I224" s="22"/>
      <c r="K224" s="43"/>
    </row>
    <row r="225" ht="22.5" customHeight="1">
      <c r="B225" s="19"/>
      <c r="C225" s="19"/>
      <c r="D225" s="100"/>
      <c r="H225" s="42"/>
      <c r="I225" s="22"/>
      <c r="K225" s="43"/>
    </row>
    <row r="226" ht="22.5" customHeight="1">
      <c r="B226" s="19"/>
      <c r="C226" s="19"/>
      <c r="D226" s="100"/>
      <c r="H226" s="42"/>
      <c r="I226" s="22"/>
      <c r="K226" s="43"/>
    </row>
    <row r="227" ht="22.5" customHeight="1">
      <c r="B227" s="19"/>
      <c r="C227" s="19"/>
      <c r="D227" s="100"/>
      <c r="H227" s="42"/>
      <c r="I227" s="22"/>
      <c r="K227" s="43"/>
    </row>
    <row r="228" ht="22.5" customHeight="1">
      <c r="B228" s="19"/>
      <c r="C228" s="19"/>
      <c r="D228" s="100"/>
      <c r="H228" s="42"/>
      <c r="I228" s="22"/>
      <c r="K228" s="43"/>
    </row>
    <row r="229" ht="22.5" customHeight="1">
      <c r="B229" s="19"/>
      <c r="C229" s="19"/>
      <c r="D229" s="100"/>
      <c r="H229" s="42"/>
      <c r="I229" s="22"/>
      <c r="K229" s="43"/>
    </row>
    <row r="230" ht="22.5" customHeight="1">
      <c r="B230" s="19"/>
      <c r="C230" s="19"/>
      <c r="D230" s="100"/>
      <c r="H230" s="42"/>
      <c r="I230" s="22"/>
      <c r="K230" s="43"/>
    </row>
    <row r="231" ht="22.5" customHeight="1">
      <c r="B231" s="19"/>
      <c r="C231" s="19"/>
      <c r="D231" s="100"/>
      <c r="H231" s="42"/>
      <c r="I231" s="22"/>
      <c r="K231" s="43"/>
    </row>
    <row r="232" ht="22.5" customHeight="1">
      <c r="B232" s="19"/>
      <c r="C232" s="19"/>
      <c r="D232" s="100"/>
      <c r="H232" s="42"/>
      <c r="I232" s="22"/>
      <c r="K232" s="43"/>
    </row>
    <row r="233" ht="22.5" customHeight="1">
      <c r="B233" s="19"/>
      <c r="C233" s="19"/>
      <c r="D233" s="100"/>
      <c r="H233" s="42"/>
      <c r="I233" s="22"/>
      <c r="K233" s="43"/>
    </row>
    <row r="234" ht="22.5" customHeight="1">
      <c r="B234" s="19"/>
      <c r="C234" s="19"/>
      <c r="D234" s="100"/>
      <c r="H234" s="42"/>
      <c r="I234" s="22"/>
      <c r="K234" s="43"/>
    </row>
    <row r="235" ht="22.5" customHeight="1">
      <c r="B235" s="19"/>
      <c r="C235" s="19"/>
      <c r="D235" s="100"/>
      <c r="H235" s="42"/>
      <c r="I235" s="22"/>
      <c r="K235" s="43"/>
    </row>
    <row r="236" ht="22.5" customHeight="1">
      <c r="B236" s="19"/>
      <c r="C236" s="19"/>
      <c r="D236" s="100"/>
      <c r="H236" s="42"/>
      <c r="I236" s="22"/>
      <c r="K236" s="43"/>
    </row>
    <row r="237" ht="22.5" customHeight="1">
      <c r="B237" s="19"/>
      <c r="C237" s="19"/>
      <c r="D237" s="100"/>
      <c r="H237" s="42"/>
      <c r="I237" s="22"/>
      <c r="K237" s="43"/>
    </row>
    <row r="238" ht="22.5" customHeight="1">
      <c r="B238" s="19"/>
      <c r="C238" s="19"/>
      <c r="D238" s="100"/>
      <c r="H238" s="42"/>
      <c r="I238" s="22"/>
      <c r="K238" s="43"/>
    </row>
    <row r="239" ht="22.5" customHeight="1">
      <c r="B239" s="19"/>
      <c r="C239" s="19"/>
      <c r="D239" s="100"/>
      <c r="H239" s="42"/>
      <c r="I239" s="22"/>
      <c r="K239" s="43"/>
    </row>
    <row r="240" ht="22.5" customHeight="1">
      <c r="B240" s="19"/>
      <c r="C240" s="19"/>
      <c r="D240" s="100"/>
      <c r="H240" s="42"/>
      <c r="I240" s="22"/>
      <c r="K240" s="43"/>
    </row>
    <row r="241" ht="22.5" customHeight="1">
      <c r="B241" s="19"/>
      <c r="C241" s="19"/>
      <c r="D241" s="100"/>
      <c r="H241" s="42"/>
      <c r="I241" s="22"/>
      <c r="K241" s="43"/>
    </row>
    <row r="242" ht="22.5" customHeight="1">
      <c r="B242" s="19"/>
      <c r="C242" s="19"/>
      <c r="D242" s="100"/>
      <c r="H242" s="42"/>
      <c r="I242" s="22"/>
      <c r="K242" s="43"/>
    </row>
    <row r="243" ht="22.5" customHeight="1">
      <c r="B243" s="19"/>
      <c r="C243" s="19"/>
      <c r="D243" s="100"/>
      <c r="H243" s="42"/>
      <c r="I243" s="22"/>
      <c r="K243" s="43"/>
    </row>
    <row r="244" ht="22.5" customHeight="1">
      <c r="B244" s="19"/>
      <c r="C244" s="19"/>
      <c r="D244" s="100"/>
      <c r="H244" s="42"/>
      <c r="I244" s="22"/>
      <c r="K244" s="43"/>
    </row>
    <row r="245" ht="22.5" customHeight="1">
      <c r="B245" s="19"/>
      <c r="C245" s="19"/>
      <c r="D245" s="100"/>
      <c r="H245" s="42"/>
      <c r="I245" s="22"/>
      <c r="K245" s="43"/>
    </row>
    <row r="246" ht="22.5" customHeight="1">
      <c r="B246" s="19"/>
      <c r="C246" s="19"/>
      <c r="D246" s="100"/>
      <c r="H246" s="42"/>
      <c r="I246" s="22"/>
      <c r="K246" s="43"/>
    </row>
    <row r="247" ht="22.5" customHeight="1">
      <c r="B247" s="19"/>
      <c r="C247" s="19"/>
      <c r="D247" s="100"/>
      <c r="H247" s="42"/>
      <c r="I247" s="22"/>
      <c r="K247" s="43"/>
    </row>
    <row r="248" ht="22.5" customHeight="1">
      <c r="B248" s="19"/>
      <c r="C248" s="19"/>
      <c r="D248" s="100"/>
      <c r="H248" s="42"/>
      <c r="I248" s="22"/>
      <c r="K248" s="43"/>
    </row>
    <row r="249" ht="22.5" customHeight="1">
      <c r="B249" s="19"/>
      <c r="C249" s="19"/>
      <c r="D249" s="100"/>
      <c r="H249" s="42"/>
      <c r="I249" s="22"/>
      <c r="K249" s="43"/>
    </row>
    <row r="250" ht="22.5" customHeight="1">
      <c r="B250" s="19"/>
      <c r="C250" s="19"/>
      <c r="D250" s="100"/>
      <c r="H250" s="42"/>
      <c r="I250" s="22"/>
      <c r="K250" s="43"/>
    </row>
    <row r="251" ht="22.5" customHeight="1">
      <c r="B251" s="19"/>
      <c r="C251" s="19"/>
      <c r="D251" s="100"/>
      <c r="H251" s="42"/>
      <c r="I251" s="22"/>
      <c r="K251" s="43"/>
    </row>
    <row r="252" ht="22.5" customHeight="1">
      <c r="B252" s="19"/>
      <c r="C252" s="19"/>
      <c r="D252" s="100"/>
      <c r="H252" s="42"/>
      <c r="I252" s="22"/>
      <c r="K252" s="43"/>
    </row>
    <row r="253" ht="22.5" customHeight="1">
      <c r="B253" s="19"/>
      <c r="C253" s="19"/>
      <c r="D253" s="100"/>
      <c r="H253" s="42"/>
      <c r="I253" s="22"/>
      <c r="K253" s="43"/>
    </row>
    <row r="254" ht="22.5" customHeight="1">
      <c r="B254" s="19"/>
      <c r="C254" s="19"/>
      <c r="D254" s="100"/>
      <c r="H254" s="42"/>
      <c r="I254" s="22"/>
      <c r="K254" s="43"/>
    </row>
    <row r="255" ht="22.5" customHeight="1">
      <c r="B255" s="19"/>
      <c r="C255" s="19"/>
      <c r="D255" s="100"/>
      <c r="H255" s="42"/>
      <c r="I255" s="22"/>
      <c r="K255" s="43"/>
    </row>
    <row r="256" ht="22.5" customHeight="1">
      <c r="B256" s="19"/>
      <c r="C256" s="19"/>
      <c r="D256" s="100"/>
      <c r="H256" s="42"/>
      <c r="I256" s="22"/>
      <c r="K256" s="43"/>
    </row>
    <row r="257" ht="22.5" customHeight="1">
      <c r="B257" s="19"/>
      <c r="C257" s="19"/>
      <c r="D257" s="100"/>
      <c r="H257" s="42"/>
      <c r="I257" s="22"/>
      <c r="K257" s="43"/>
    </row>
    <row r="258" ht="22.5" customHeight="1">
      <c r="B258" s="19"/>
      <c r="C258" s="19"/>
      <c r="D258" s="100"/>
      <c r="H258" s="42"/>
      <c r="I258" s="22"/>
      <c r="K258" s="43"/>
    </row>
    <row r="259" ht="22.5" customHeight="1">
      <c r="B259" s="19"/>
      <c r="C259" s="19"/>
      <c r="D259" s="100"/>
      <c r="H259" s="42"/>
      <c r="I259" s="22"/>
      <c r="K259" s="43"/>
    </row>
    <row r="260" ht="22.5" customHeight="1">
      <c r="B260" s="19"/>
      <c r="C260" s="19"/>
      <c r="D260" s="100"/>
      <c r="H260" s="42"/>
      <c r="I260" s="22"/>
      <c r="K260" s="43"/>
    </row>
    <row r="261" ht="22.5" customHeight="1">
      <c r="B261" s="19"/>
      <c r="C261" s="19"/>
      <c r="D261" s="100"/>
      <c r="H261" s="42"/>
      <c r="I261" s="22"/>
      <c r="K261" s="43"/>
    </row>
    <row r="262" ht="22.5" customHeight="1">
      <c r="B262" s="19"/>
      <c r="C262" s="19"/>
      <c r="D262" s="100"/>
      <c r="H262" s="42"/>
      <c r="I262" s="22"/>
      <c r="K262" s="43"/>
    </row>
    <row r="263" ht="22.5" customHeight="1">
      <c r="B263" s="19"/>
      <c r="C263" s="19"/>
      <c r="D263" s="100"/>
      <c r="H263" s="42"/>
      <c r="I263" s="22"/>
      <c r="K263" s="43"/>
    </row>
    <row r="264" ht="22.5" customHeight="1">
      <c r="B264" s="19"/>
      <c r="C264" s="19"/>
      <c r="D264" s="100"/>
      <c r="H264" s="42"/>
      <c r="I264" s="22"/>
      <c r="K264" s="43"/>
    </row>
    <row r="265" ht="22.5" customHeight="1">
      <c r="B265" s="19"/>
      <c r="C265" s="19"/>
      <c r="D265" s="100"/>
      <c r="H265" s="42"/>
      <c r="I265" s="22"/>
      <c r="K265" s="43"/>
    </row>
    <row r="266" ht="22.5" customHeight="1">
      <c r="B266" s="19"/>
      <c r="C266" s="19"/>
      <c r="D266" s="100"/>
      <c r="H266" s="42"/>
      <c r="I266" s="22"/>
      <c r="K266" s="43"/>
    </row>
    <row r="267" ht="22.5" customHeight="1">
      <c r="B267" s="19"/>
      <c r="C267" s="19"/>
      <c r="D267" s="100"/>
      <c r="H267" s="42"/>
      <c r="I267" s="22"/>
      <c r="K267" s="43"/>
    </row>
    <row r="268" ht="22.5" customHeight="1">
      <c r="B268" s="19"/>
      <c r="C268" s="19"/>
      <c r="D268" s="100"/>
      <c r="H268" s="42"/>
      <c r="I268" s="22"/>
      <c r="K268" s="43"/>
    </row>
    <row r="269" ht="22.5" customHeight="1">
      <c r="B269" s="19"/>
      <c r="C269" s="19"/>
      <c r="D269" s="100"/>
      <c r="H269" s="42"/>
      <c r="I269" s="22"/>
      <c r="K269" s="43"/>
    </row>
    <row r="270" ht="22.5" customHeight="1">
      <c r="B270" s="19"/>
      <c r="C270" s="19"/>
      <c r="D270" s="100"/>
      <c r="H270" s="42"/>
      <c r="I270" s="22"/>
      <c r="K270" s="43"/>
    </row>
    <row r="271" ht="22.5" customHeight="1">
      <c r="B271" s="19"/>
      <c r="C271" s="19"/>
      <c r="D271" s="100"/>
      <c r="H271" s="42"/>
      <c r="I271" s="22"/>
      <c r="K271" s="43"/>
    </row>
    <row r="272" ht="22.5" customHeight="1">
      <c r="B272" s="19"/>
      <c r="C272" s="19"/>
      <c r="D272" s="100"/>
      <c r="H272" s="42"/>
      <c r="I272" s="22"/>
      <c r="K272" s="43"/>
    </row>
    <row r="273" ht="22.5" customHeight="1">
      <c r="B273" s="19"/>
      <c r="C273" s="19"/>
      <c r="D273" s="100"/>
      <c r="H273" s="42"/>
      <c r="I273" s="22"/>
      <c r="K273" s="43"/>
    </row>
    <row r="274" ht="22.5" customHeight="1">
      <c r="B274" s="19"/>
      <c r="C274" s="19"/>
      <c r="D274" s="100"/>
      <c r="H274" s="42"/>
      <c r="I274" s="22"/>
      <c r="K274" s="43"/>
    </row>
    <row r="275" ht="22.5" customHeight="1">
      <c r="B275" s="19"/>
      <c r="C275" s="19"/>
      <c r="D275" s="100"/>
      <c r="H275" s="42"/>
      <c r="I275" s="22"/>
      <c r="K275" s="43"/>
    </row>
    <row r="276" ht="22.5" customHeight="1">
      <c r="B276" s="19"/>
      <c r="C276" s="19"/>
      <c r="D276" s="100"/>
      <c r="H276" s="42"/>
      <c r="I276" s="22"/>
      <c r="K276" s="43"/>
    </row>
    <row r="277" ht="22.5" customHeight="1">
      <c r="B277" s="19"/>
      <c r="C277" s="19"/>
      <c r="D277" s="100"/>
      <c r="H277" s="42"/>
      <c r="I277" s="22"/>
      <c r="K277" s="43"/>
    </row>
    <row r="278" ht="22.5" customHeight="1">
      <c r="B278" s="19"/>
      <c r="C278" s="19"/>
      <c r="D278" s="100"/>
      <c r="H278" s="42"/>
      <c r="I278" s="22"/>
      <c r="K278" s="43"/>
    </row>
    <row r="279" ht="22.5" customHeight="1">
      <c r="B279" s="19"/>
      <c r="C279" s="19"/>
      <c r="D279" s="100"/>
      <c r="H279" s="42"/>
      <c r="I279" s="22"/>
      <c r="K279" s="43"/>
    </row>
    <row r="280" ht="22.5" customHeight="1">
      <c r="B280" s="19"/>
      <c r="C280" s="19"/>
      <c r="D280" s="100"/>
      <c r="H280" s="42"/>
      <c r="I280" s="22"/>
      <c r="K280" s="43"/>
    </row>
    <row r="281" ht="22.5" customHeight="1">
      <c r="B281" s="19"/>
      <c r="C281" s="19"/>
      <c r="D281" s="100"/>
      <c r="H281" s="42"/>
      <c r="I281" s="22"/>
      <c r="K281" s="43"/>
    </row>
    <row r="282" ht="22.5" customHeight="1">
      <c r="B282" s="19"/>
      <c r="C282" s="19"/>
      <c r="D282" s="100"/>
      <c r="H282" s="42"/>
      <c r="I282" s="22"/>
      <c r="K282" s="43"/>
    </row>
    <row r="283" ht="22.5" customHeight="1">
      <c r="B283" s="19"/>
      <c r="C283" s="19"/>
      <c r="D283" s="100"/>
      <c r="H283" s="42"/>
      <c r="I283" s="22"/>
      <c r="K283" s="43"/>
    </row>
    <row r="284" ht="22.5" customHeight="1">
      <c r="B284" s="19"/>
      <c r="C284" s="19"/>
      <c r="D284" s="100"/>
      <c r="H284" s="42"/>
      <c r="I284" s="22"/>
      <c r="K284" s="43"/>
    </row>
    <row r="285" ht="22.5" customHeight="1">
      <c r="B285" s="19"/>
      <c r="C285" s="19"/>
      <c r="D285" s="100"/>
      <c r="H285" s="42"/>
      <c r="I285" s="22"/>
      <c r="K285" s="43"/>
    </row>
    <row r="286" ht="22.5" customHeight="1">
      <c r="B286" s="19"/>
      <c r="C286" s="19"/>
      <c r="D286" s="100"/>
      <c r="H286" s="42"/>
      <c r="I286" s="22"/>
      <c r="K286" s="43"/>
    </row>
    <row r="287" ht="22.5" customHeight="1">
      <c r="B287" s="19"/>
      <c r="C287" s="19"/>
      <c r="D287" s="100"/>
      <c r="H287" s="42"/>
      <c r="I287" s="22"/>
      <c r="K287" s="43"/>
    </row>
    <row r="288" ht="22.5" customHeight="1">
      <c r="B288" s="19"/>
      <c r="C288" s="19"/>
      <c r="D288" s="100"/>
      <c r="H288" s="42"/>
      <c r="I288" s="22"/>
      <c r="K288" s="43"/>
    </row>
    <row r="289" ht="22.5" customHeight="1">
      <c r="B289" s="19"/>
      <c r="C289" s="19"/>
      <c r="D289" s="100"/>
      <c r="H289" s="42"/>
      <c r="I289" s="22"/>
      <c r="K289" s="43"/>
    </row>
    <row r="290" ht="22.5" customHeight="1">
      <c r="B290" s="19"/>
      <c r="C290" s="19"/>
      <c r="D290" s="100"/>
      <c r="H290" s="42"/>
      <c r="I290" s="22"/>
      <c r="K290" s="43"/>
    </row>
    <row r="291" ht="22.5" customHeight="1">
      <c r="B291" s="19"/>
      <c r="C291" s="19"/>
      <c r="D291" s="100"/>
      <c r="H291" s="42"/>
      <c r="I291" s="22"/>
      <c r="K291" s="43"/>
    </row>
    <row r="292" ht="22.5" customHeight="1">
      <c r="B292" s="19"/>
      <c r="C292" s="19"/>
      <c r="D292" s="100"/>
      <c r="H292" s="42"/>
      <c r="I292" s="22"/>
      <c r="K292" s="43"/>
    </row>
    <row r="293" ht="22.5" customHeight="1">
      <c r="B293" s="19"/>
      <c r="C293" s="19"/>
      <c r="D293" s="100"/>
      <c r="H293" s="42"/>
      <c r="I293" s="22"/>
      <c r="K293" s="43"/>
    </row>
    <row r="294" ht="22.5" customHeight="1">
      <c r="B294" s="19"/>
      <c r="C294" s="19"/>
      <c r="D294" s="100"/>
      <c r="H294" s="42"/>
      <c r="I294" s="22"/>
      <c r="K294" s="43"/>
    </row>
    <row r="295" ht="22.5" customHeight="1">
      <c r="B295" s="19"/>
      <c r="C295" s="19"/>
      <c r="D295" s="100"/>
      <c r="H295" s="42"/>
      <c r="I295" s="22"/>
      <c r="K295" s="43"/>
    </row>
    <row r="296" ht="22.5" customHeight="1">
      <c r="B296" s="19"/>
      <c r="C296" s="19"/>
      <c r="D296" s="100"/>
      <c r="H296" s="42"/>
      <c r="I296" s="22"/>
      <c r="K296" s="43"/>
    </row>
    <row r="297" ht="22.5" customHeight="1">
      <c r="B297" s="19"/>
      <c r="C297" s="19"/>
      <c r="D297" s="100"/>
      <c r="H297" s="42"/>
      <c r="I297" s="22"/>
      <c r="K297" s="43"/>
    </row>
    <row r="298" ht="22.5" customHeight="1">
      <c r="B298" s="19"/>
      <c r="C298" s="19"/>
      <c r="D298" s="100"/>
      <c r="H298" s="42"/>
      <c r="I298" s="22"/>
      <c r="K298" s="43"/>
    </row>
    <row r="299" ht="22.5" customHeight="1">
      <c r="B299" s="19"/>
      <c r="C299" s="19"/>
      <c r="D299" s="100"/>
      <c r="H299" s="42"/>
      <c r="I299" s="22"/>
      <c r="K299" s="43"/>
    </row>
    <row r="300" ht="22.5" customHeight="1">
      <c r="B300" s="19"/>
      <c r="C300" s="19"/>
      <c r="D300" s="100"/>
      <c r="H300" s="42"/>
      <c r="I300" s="22"/>
      <c r="K300" s="43"/>
    </row>
    <row r="301" ht="22.5" customHeight="1">
      <c r="B301" s="19"/>
      <c r="C301" s="19"/>
      <c r="D301" s="100"/>
      <c r="H301" s="42"/>
      <c r="I301" s="22"/>
      <c r="K301" s="43"/>
    </row>
    <row r="302" ht="22.5" customHeight="1">
      <c r="B302" s="19"/>
      <c r="C302" s="19"/>
      <c r="D302" s="100"/>
      <c r="H302" s="42"/>
      <c r="I302" s="22"/>
      <c r="K302" s="43"/>
    </row>
    <row r="303" ht="22.5" customHeight="1">
      <c r="B303" s="19"/>
      <c r="C303" s="19"/>
      <c r="D303" s="100"/>
      <c r="H303" s="42"/>
      <c r="I303" s="22"/>
      <c r="K303" s="43"/>
    </row>
    <row r="304" ht="22.5" customHeight="1">
      <c r="B304" s="19"/>
      <c r="C304" s="19"/>
      <c r="D304" s="100"/>
      <c r="H304" s="42"/>
      <c r="I304" s="22"/>
      <c r="K304" s="43"/>
    </row>
    <row r="305" ht="22.5" customHeight="1">
      <c r="B305" s="19"/>
      <c r="C305" s="19"/>
      <c r="D305" s="100"/>
      <c r="H305" s="42"/>
      <c r="I305" s="22"/>
      <c r="K305" s="43"/>
    </row>
    <row r="306" ht="22.5" customHeight="1">
      <c r="B306" s="19"/>
      <c r="C306" s="19"/>
      <c r="D306" s="100"/>
      <c r="H306" s="42"/>
      <c r="I306" s="22"/>
      <c r="K306" s="43"/>
    </row>
    <row r="307" ht="22.5" customHeight="1">
      <c r="B307" s="19"/>
      <c r="C307" s="19"/>
      <c r="D307" s="100"/>
      <c r="H307" s="42"/>
      <c r="I307" s="22"/>
      <c r="K307" s="43"/>
    </row>
    <row r="308" ht="22.5" customHeight="1">
      <c r="B308" s="19"/>
      <c r="C308" s="19"/>
      <c r="D308" s="100"/>
      <c r="H308" s="42"/>
      <c r="I308" s="22"/>
      <c r="K308" s="43"/>
    </row>
    <row r="309" ht="22.5" customHeight="1">
      <c r="B309" s="19"/>
      <c r="C309" s="19"/>
      <c r="D309" s="100"/>
      <c r="H309" s="42"/>
      <c r="I309" s="22"/>
      <c r="K309" s="43"/>
    </row>
    <row r="310" ht="22.5" customHeight="1">
      <c r="B310" s="19"/>
      <c r="C310" s="19"/>
      <c r="D310" s="100"/>
      <c r="H310" s="42"/>
      <c r="I310" s="22"/>
      <c r="K310" s="43"/>
    </row>
    <row r="311" ht="22.5" customHeight="1">
      <c r="B311" s="19"/>
      <c r="C311" s="19"/>
      <c r="D311" s="100"/>
      <c r="H311" s="42"/>
      <c r="I311" s="22"/>
      <c r="K311" s="43"/>
    </row>
    <row r="312" ht="22.5" customHeight="1">
      <c r="B312" s="19"/>
      <c r="C312" s="19"/>
      <c r="D312" s="100"/>
      <c r="H312" s="42"/>
      <c r="I312" s="22"/>
      <c r="K312" s="43"/>
    </row>
    <row r="313" ht="22.5" customHeight="1">
      <c r="B313" s="19"/>
      <c r="C313" s="19"/>
      <c r="D313" s="100"/>
      <c r="H313" s="42"/>
      <c r="I313" s="22"/>
      <c r="K313" s="43"/>
    </row>
    <row r="314" ht="22.5" customHeight="1">
      <c r="B314" s="19"/>
      <c r="C314" s="19"/>
      <c r="D314" s="100"/>
      <c r="H314" s="42"/>
      <c r="I314" s="22"/>
      <c r="K314" s="43"/>
    </row>
    <row r="315" ht="22.5" customHeight="1">
      <c r="B315" s="19"/>
      <c r="C315" s="19"/>
      <c r="D315" s="100"/>
      <c r="H315" s="42"/>
      <c r="I315" s="22"/>
      <c r="K315" s="43"/>
    </row>
    <row r="316" ht="22.5" customHeight="1">
      <c r="B316" s="19"/>
      <c r="C316" s="19"/>
      <c r="D316" s="100"/>
      <c r="H316" s="42"/>
      <c r="I316" s="22"/>
      <c r="K316" s="43"/>
    </row>
    <row r="317" ht="22.5" customHeight="1">
      <c r="B317" s="19"/>
      <c r="C317" s="19"/>
      <c r="D317" s="100"/>
      <c r="H317" s="42"/>
      <c r="I317" s="22"/>
      <c r="K317" s="43"/>
    </row>
    <row r="318" ht="22.5" customHeight="1">
      <c r="B318" s="19"/>
      <c r="C318" s="19"/>
      <c r="D318" s="100"/>
      <c r="H318" s="42"/>
      <c r="I318" s="22"/>
      <c r="K318" s="43"/>
    </row>
    <row r="319" ht="22.5" customHeight="1">
      <c r="B319" s="19"/>
      <c r="C319" s="19"/>
      <c r="D319" s="100"/>
      <c r="H319" s="42"/>
      <c r="I319" s="22"/>
      <c r="K319" s="43"/>
    </row>
    <row r="320" ht="22.5" customHeight="1">
      <c r="B320" s="19"/>
      <c r="C320" s="19"/>
      <c r="D320" s="100"/>
      <c r="H320" s="42"/>
      <c r="I320" s="22"/>
      <c r="K320" s="43"/>
    </row>
    <row r="321" ht="22.5" customHeight="1">
      <c r="B321" s="19"/>
      <c r="C321" s="19"/>
      <c r="D321" s="100"/>
      <c r="H321" s="42"/>
      <c r="I321" s="22"/>
      <c r="K321" s="43"/>
    </row>
    <row r="322" ht="22.5" customHeight="1">
      <c r="B322" s="19"/>
      <c r="C322" s="19"/>
      <c r="D322" s="100"/>
      <c r="H322" s="42"/>
      <c r="I322" s="22"/>
      <c r="K322" s="43"/>
    </row>
    <row r="323" ht="22.5" customHeight="1">
      <c r="B323" s="19"/>
      <c r="C323" s="19"/>
      <c r="D323" s="100"/>
      <c r="H323" s="42"/>
      <c r="I323" s="22"/>
      <c r="K323" s="43"/>
    </row>
    <row r="324" ht="22.5" customHeight="1">
      <c r="B324" s="19"/>
      <c r="C324" s="19"/>
      <c r="D324" s="100"/>
      <c r="H324" s="42"/>
      <c r="I324" s="22"/>
      <c r="K324" s="43"/>
    </row>
    <row r="325" ht="22.5" customHeight="1">
      <c r="B325" s="19"/>
      <c r="C325" s="19"/>
      <c r="D325" s="100"/>
      <c r="H325" s="42"/>
      <c r="I325" s="22"/>
      <c r="K325" s="43"/>
    </row>
    <row r="326" ht="22.5" customHeight="1">
      <c r="B326" s="19"/>
      <c r="C326" s="19"/>
      <c r="D326" s="100"/>
      <c r="H326" s="42"/>
      <c r="I326" s="22"/>
      <c r="K326" s="43"/>
    </row>
    <row r="327" ht="22.5" customHeight="1">
      <c r="B327" s="19"/>
      <c r="C327" s="19"/>
      <c r="D327" s="100"/>
      <c r="H327" s="42"/>
      <c r="I327" s="22"/>
      <c r="K327" s="43"/>
    </row>
    <row r="328" ht="22.5" customHeight="1">
      <c r="B328" s="19"/>
      <c r="C328" s="19"/>
      <c r="D328" s="100"/>
      <c r="H328" s="42"/>
      <c r="I328" s="22"/>
      <c r="K328" s="43"/>
    </row>
    <row r="329" ht="22.5" customHeight="1">
      <c r="B329" s="19"/>
      <c r="C329" s="19"/>
      <c r="D329" s="100"/>
      <c r="H329" s="42"/>
      <c r="I329" s="22"/>
      <c r="K329" s="43"/>
    </row>
    <row r="330" ht="22.5" customHeight="1">
      <c r="B330" s="19"/>
      <c r="C330" s="19"/>
      <c r="D330" s="100"/>
      <c r="H330" s="42"/>
      <c r="I330" s="22"/>
      <c r="K330" s="43"/>
    </row>
    <row r="331" ht="22.5" customHeight="1">
      <c r="B331" s="19"/>
      <c r="C331" s="19"/>
      <c r="D331" s="100"/>
      <c r="H331" s="42"/>
      <c r="I331" s="22"/>
      <c r="K331" s="43"/>
    </row>
    <row r="332" ht="22.5" customHeight="1">
      <c r="B332" s="19"/>
      <c r="C332" s="19"/>
      <c r="D332" s="100"/>
      <c r="H332" s="42"/>
      <c r="I332" s="22"/>
      <c r="K332" s="43"/>
    </row>
    <row r="333" ht="22.5" customHeight="1">
      <c r="B333" s="19"/>
      <c r="C333" s="19"/>
      <c r="D333" s="100"/>
      <c r="H333" s="42"/>
      <c r="I333" s="22"/>
      <c r="K333" s="43"/>
    </row>
    <row r="334" ht="22.5" customHeight="1">
      <c r="B334" s="19"/>
      <c r="C334" s="19"/>
      <c r="D334" s="100"/>
      <c r="H334" s="42"/>
      <c r="I334" s="22"/>
      <c r="K334" s="43"/>
    </row>
    <row r="335" ht="22.5" customHeight="1">
      <c r="B335" s="19"/>
      <c r="C335" s="19"/>
      <c r="D335" s="100"/>
      <c r="H335" s="42"/>
      <c r="I335" s="22"/>
      <c r="K335" s="43"/>
    </row>
    <row r="336" ht="22.5" customHeight="1">
      <c r="B336" s="19"/>
      <c r="C336" s="19"/>
      <c r="D336" s="100"/>
      <c r="H336" s="42"/>
      <c r="I336" s="22"/>
      <c r="K336" s="43"/>
    </row>
    <row r="337" ht="22.5" customHeight="1">
      <c r="B337" s="19"/>
      <c r="C337" s="19"/>
      <c r="D337" s="100"/>
      <c r="H337" s="42"/>
      <c r="I337" s="22"/>
      <c r="K337" s="43"/>
    </row>
    <row r="338" ht="22.5" customHeight="1">
      <c r="B338" s="19"/>
      <c r="C338" s="19"/>
      <c r="D338" s="100"/>
      <c r="H338" s="42"/>
      <c r="I338" s="22"/>
      <c r="K338" s="43"/>
    </row>
    <row r="339" ht="22.5" customHeight="1">
      <c r="B339" s="19"/>
      <c r="C339" s="19"/>
      <c r="D339" s="100"/>
      <c r="H339" s="42"/>
      <c r="I339" s="22"/>
      <c r="K339" s="43"/>
    </row>
    <row r="340" ht="22.5" customHeight="1">
      <c r="B340" s="19"/>
      <c r="C340" s="19"/>
      <c r="D340" s="100"/>
      <c r="H340" s="42"/>
      <c r="I340" s="22"/>
      <c r="K340" s="43"/>
    </row>
    <row r="341" ht="22.5" customHeight="1">
      <c r="B341" s="19"/>
      <c r="C341" s="19"/>
      <c r="D341" s="100"/>
      <c r="H341" s="42"/>
      <c r="I341" s="22"/>
      <c r="K341" s="43"/>
    </row>
    <row r="342" ht="22.5" customHeight="1">
      <c r="B342" s="19"/>
      <c r="C342" s="19"/>
      <c r="D342" s="100"/>
      <c r="H342" s="42"/>
      <c r="I342" s="22"/>
      <c r="K342" s="43"/>
    </row>
    <row r="343" ht="22.5" customHeight="1">
      <c r="B343" s="19"/>
      <c r="C343" s="19"/>
      <c r="D343" s="100"/>
      <c r="H343" s="42"/>
      <c r="I343" s="22"/>
      <c r="K343" s="43"/>
    </row>
    <row r="344" ht="22.5" customHeight="1">
      <c r="B344" s="19"/>
      <c r="C344" s="19"/>
      <c r="D344" s="100"/>
      <c r="H344" s="42"/>
      <c r="I344" s="22"/>
      <c r="K344" s="43"/>
    </row>
    <row r="345" ht="22.5" customHeight="1">
      <c r="B345" s="19"/>
      <c r="C345" s="19"/>
      <c r="D345" s="100"/>
      <c r="H345" s="42"/>
      <c r="I345" s="22"/>
      <c r="K345" s="43"/>
    </row>
    <row r="346" ht="22.5" customHeight="1">
      <c r="B346" s="19"/>
      <c r="C346" s="19"/>
      <c r="D346" s="100"/>
      <c r="H346" s="42"/>
      <c r="I346" s="22"/>
      <c r="K346" s="43"/>
    </row>
    <row r="347" ht="22.5" customHeight="1">
      <c r="B347" s="19"/>
      <c r="C347" s="19"/>
      <c r="D347" s="100"/>
      <c r="H347" s="42"/>
      <c r="I347" s="22"/>
      <c r="K347" s="43"/>
    </row>
    <row r="348" ht="22.5" customHeight="1">
      <c r="B348" s="19"/>
      <c r="C348" s="19"/>
      <c r="D348" s="100"/>
      <c r="H348" s="42"/>
      <c r="I348" s="22"/>
      <c r="K348" s="43"/>
    </row>
    <row r="349" ht="22.5" customHeight="1">
      <c r="B349" s="19"/>
      <c r="C349" s="19"/>
      <c r="D349" s="100"/>
      <c r="H349" s="42"/>
      <c r="I349" s="22"/>
      <c r="K349" s="43"/>
    </row>
    <row r="350" ht="22.5" customHeight="1">
      <c r="B350" s="19"/>
      <c r="C350" s="19"/>
      <c r="D350" s="100"/>
      <c r="H350" s="42"/>
      <c r="I350" s="22"/>
      <c r="K350" s="43"/>
    </row>
    <row r="351" ht="22.5" customHeight="1">
      <c r="B351" s="19"/>
      <c r="C351" s="19"/>
      <c r="D351" s="100"/>
      <c r="H351" s="42"/>
      <c r="I351" s="22"/>
      <c r="K351" s="43"/>
    </row>
    <row r="352" ht="22.5" customHeight="1">
      <c r="B352" s="19"/>
      <c r="C352" s="19"/>
      <c r="D352" s="100"/>
      <c r="H352" s="42"/>
      <c r="I352" s="22"/>
      <c r="K352" s="43"/>
    </row>
    <row r="353" ht="22.5" customHeight="1">
      <c r="B353" s="19"/>
      <c r="C353" s="19"/>
      <c r="D353" s="100"/>
      <c r="H353" s="42"/>
      <c r="I353" s="22"/>
      <c r="K353" s="43"/>
    </row>
    <row r="354" ht="22.5" customHeight="1">
      <c r="B354" s="19"/>
      <c r="C354" s="19"/>
      <c r="D354" s="100"/>
      <c r="H354" s="42"/>
      <c r="I354" s="22"/>
      <c r="K354" s="43"/>
    </row>
    <row r="355" ht="22.5" customHeight="1">
      <c r="B355" s="19"/>
      <c r="C355" s="19"/>
      <c r="D355" s="100"/>
      <c r="H355" s="42"/>
      <c r="I355" s="22"/>
      <c r="K355" s="43"/>
    </row>
    <row r="356" ht="22.5" customHeight="1">
      <c r="B356" s="19"/>
      <c r="C356" s="19"/>
      <c r="D356" s="100"/>
      <c r="H356" s="42"/>
      <c r="I356" s="22"/>
      <c r="K356" s="43"/>
    </row>
    <row r="357" ht="22.5" customHeight="1">
      <c r="B357" s="19"/>
      <c r="C357" s="19"/>
      <c r="D357" s="100"/>
      <c r="H357" s="42"/>
      <c r="I357" s="22"/>
      <c r="K357" s="43"/>
    </row>
    <row r="358" ht="22.5" customHeight="1">
      <c r="B358" s="19"/>
      <c r="C358" s="19"/>
      <c r="D358" s="100"/>
      <c r="H358" s="42"/>
      <c r="I358" s="22"/>
      <c r="K358" s="43"/>
    </row>
    <row r="359" ht="22.5" customHeight="1">
      <c r="B359" s="19"/>
      <c r="C359" s="19"/>
      <c r="D359" s="100"/>
      <c r="H359" s="42"/>
      <c r="I359" s="22"/>
      <c r="K359" s="43"/>
    </row>
    <row r="360" ht="22.5" customHeight="1">
      <c r="B360" s="19"/>
      <c r="C360" s="19"/>
      <c r="D360" s="100"/>
      <c r="H360" s="42"/>
      <c r="I360" s="22"/>
      <c r="K360" s="43"/>
    </row>
    <row r="361" ht="22.5" customHeight="1">
      <c r="B361" s="19"/>
      <c r="C361" s="19"/>
      <c r="D361" s="100"/>
      <c r="H361" s="42"/>
      <c r="I361" s="22"/>
      <c r="K361" s="43"/>
    </row>
    <row r="362" ht="22.5" customHeight="1">
      <c r="B362" s="19"/>
      <c r="C362" s="19"/>
      <c r="D362" s="100"/>
      <c r="H362" s="42"/>
      <c r="I362" s="22"/>
      <c r="K362" s="43"/>
    </row>
    <row r="363" ht="22.5" customHeight="1">
      <c r="B363" s="19"/>
      <c r="C363" s="19"/>
      <c r="D363" s="100"/>
      <c r="H363" s="42"/>
      <c r="I363" s="22"/>
      <c r="K363" s="43"/>
    </row>
    <row r="364" ht="22.5" customHeight="1">
      <c r="B364" s="19"/>
      <c r="C364" s="19"/>
      <c r="D364" s="100"/>
      <c r="H364" s="42"/>
      <c r="I364" s="22"/>
      <c r="K364" s="43"/>
    </row>
    <row r="365" ht="22.5" customHeight="1">
      <c r="B365" s="19"/>
      <c r="C365" s="19"/>
      <c r="D365" s="100"/>
      <c r="H365" s="42"/>
      <c r="I365" s="22"/>
      <c r="K365" s="43"/>
    </row>
    <row r="366" ht="22.5" customHeight="1">
      <c r="B366" s="19"/>
      <c r="C366" s="19"/>
      <c r="D366" s="100"/>
      <c r="H366" s="42"/>
      <c r="I366" s="22"/>
      <c r="K366" s="43"/>
    </row>
    <row r="367" ht="22.5" customHeight="1">
      <c r="B367" s="19"/>
      <c r="C367" s="19"/>
      <c r="D367" s="100"/>
      <c r="H367" s="42"/>
      <c r="I367" s="22"/>
      <c r="K367" s="43"/>
    </row>
    <row r="368" ht="22.5" customHeight="1">
      <c r="B368" s="19"/>
      <c r="C368" s="19"/>
      <c r="D368" s="100"/>
      <c r="H368" s="42"/>
      <c r="I368" s="22"/>
      <c r="K368" s="43"/>
    </row>
    <row r="369" ht="22.5" customHeight="1">
      <c r="B369" s="19"/>
      <c r="C369" s="19"/>
      <c r="D369" s="100"/>
      <c r="H369" s="42"/>
      <c r="I369" s="22"/>
      <c r="K369" s="43"/>
    </row>
    <row r="370" ht="22.5" customHeight="1">
      <c r="B370" s="19"/>
      <c r="C370" s="19"/>
      <c r="D370" s="100"/>
      <c r="H370" s="42"/>
      <c r="I370" s="22"/>
      <c r="K370" s="43"/>
    </row>
    <row r="371" ht="22.5" customHeight="1">
      <c r="B371" s="19"/>
      <c r="C371" s="19"/>
      <c r="D371" s="100"/>
      <c r="H371" s="42"/>
      <c r="I371" s="22"/>
      <c r="K371" s="43"/>
    </row>
    <row r="372" ht="22.5" customHeight="1">
      <c r="B372" s="19"/>
      <c r="C372" s="19"/>
      <c r="D372" s="100"/>
      <c r="H372" s="42"/>
      <c r="I372" s="22"/>
      <c r="K372" s="43"/>
    </row>
    <row r="373" ht="22.5" customHeight="1">
      <c r="B373" s="19"/>
      <c r="C373" s="19"/>
      <c r="D373" s="100"/>
      <c r="H373" s="42"/>
      <c r="I373" s="22"/>
      <c r="K373" s="43"/>
    </row>
    <row r="374" ht="22.5" customHeight="1">
      <c r="B374" s="19"/>
      <c r="C374" s="19"/>
      <c r="D374" s="100"/>
      <c r="H374" s="42"/>
      <c r="I374" s="22"/>
      <c r="K374" s="43"/>
    </row>
    <row r="375" ht="22.5" customHeight="1">
      <c r="B375" s="19"/>
      <c r="C375" s="19"/>
      <c r="D375" s="100"/>
      <c r="H375" s="42"/>
      <c r="I375" s="22"/>
      <c r="K375" s="43"/>
    </row>
    <row r="376" ht="22.5" customHeight="1">
      <c r="B376" s="19"/>
      <c r="C376" s="19"/>
      <c r="D376" s="100"/>
      <c r="H376" s="42"/>
      <c r="I376" s="22"/>
      <c r="K376" s="43"/>
    </row>
    <row r="377" ht="22.5" customHeight="1">
      <c r="B377" s="19"/>
      <c r="C377" s="19"/>
      <c r="D377" s="100"/>
      <c r="H377" s="42"/>
      <c r="I377" s="22"/>
      <c r="K377" s="43"/>
    </row>
    <row r="378" ht="22.5" customHeight="1">
      <c r="B378" s="19"/>
      <c r="C378" s="19"/>
      <c r="D378" s="100"/>
      <c r="H378" s="42"/>
      <c r="I378" s="22"/>
      <c r="K378" s="43"/>
    </row>
    <row r="379" ht="22.5" customHeight="1">
      <c r="B379" s="19"/>
      <c r="C379" s="19"/>
      <c r="D379" s="100"/>
      <c r="H379" s="42"/>
      <c r="I379" s="22"/>
      <c r="K379" s="43"/>
    </row>
    <row r="380" ht="22.5" customHeight="1">
      <c r="B380" s="19"/>
      <c r="C380" s="19"/>
      <c r="D380" s="100"/>
      <c r="H380" s="42"/>
      <c r="I380" s="22"/>
      <c r="K380" s="43"/>
    </row>
    <row r="381" ht="22.5" customHeight="1">
      <c r="B381" s="19"/>
      <c r="C381" s="19"/>
      <c r="D381" s="100"/>
      <c r="H381" s="42"/>
      <c r="I381" s="22"/>
      <c r="K381" s="43"/>
    </row>
    <row r="382" ht="22.5" customHeight="1">
      <c r="B382" s="19"/>
      <c r="C382" s="19"/>
      <c r="D382" s="100"/>
      <c r="H382" s="42"/>
      <c r="I382" s="22"/>
      <c r="K382" s="43"/>
    </row>
    <row r="383" ht="22.5" customHeight="1">
      <c r="B383" s="19"/>
      <c r="C383" s="19"/>
      <c r="D383" s="100"/>
      <c r="H383" s="42"/>
      <c r="I383" s="22"/>
      <c r="K383" s="43"/>
    </row>
    <row r="384" ht="22.5" customHeight="1">
      <c r="B384" s="19"/>
      <c r="C384" s="19"/>
      <c r="D384" s="100"/>
      <c r="H384" s="42"/>
      <c r="I384" s="22"/>
      <c r="K384" s="43"/>
    </row>
    <row r="385" ht="22.5" customHeight="1">
      <c r="B385" s="19"/>
      <c r="C385" s="19"/>
      <c r="D385" s="100"/>
      <c r="H385" s="42"/>
      <c r="I385" s="22"/>
      <c r="K385" s="43"/>
    </row>
    <row r="386" ht="22.5" customHeight="1">
      <c r="B386" s="19"/>
      <c r="C386" s="19"/>
      <c r="D386" s="100"/>
      <c r="H386" s="42"/>
      <c r="I386" s="22"/>
      <c r="K386" s="43"/>
    </row>
    <row r="387" ht="22.5" customHeight="1">
      <c r="B387" s="19"/>
      <c r="C387" s="19"/>
      <c r="D387" s="100"/>
      <c r="H387" s="42"/>
      <c r="I387" s="22"/>
      <c r="K387" s="43"/>
    </row>
    <row r="388" ht="22.5" customHeight="1">
      <c r="B388" s="19"/>
      <c r="C388" s="19"/>
      <c r="D388" s="100"/>
      <c r="H388" s="42"/>
      <c r="I388" s="22"/>
      <c r="K388" s="43"/>
    </row>
    <row r="389" ht="22.5" customHeight="1">
      <c r="B389" s="19"/>
      <c r="C389" s="19"/>
      <c r="D389" s="100"/>
      <c r="H389" s="42"/>
      <c r="I389" s="22"/>
      <c r="K389" s="43"/>
    </row>
    <row r="390" ht="22.5" customHeight="1">
      <c r="B390" s="19"/>
      <c r="C390" s="19"/>
      <c r="D390" s="100"/>
      <c r="H390" s="42"/>
      <c r="I390" s="22"/>
      <c r="K390" s="43"/>
    </row>
    <row r="391" ht="22.5" customHeight="1">
      <c r="B391" s="19"/>
      <c r="C391" s="19"/>
      <c r="D391" s="100"/>
      <c r="H391" s="42"/>
      <c r="I391" s="22"/>
      <c r="K391" s="43"/>
    </row>
    <row r="392" ht="22.5" customHeight="1">
      <c r="B392" s="19"/>
      <c r="C392" s="19"/>
      <c r="D392" s="100"/>
      <c r="H392" s="42"/>
      <c r="I392" s="22"/>
      <c r="K392" s="43"/>
    </row>
    <row r="393" ht="22.5" customHeight="1">
      <c r="B393" s="19"/>
      <c r="C393" s="19"/>
      <c r="D393" s="100"/>
      <c r="H393" s="42"/>
      <c r="I393" s="22"/>
      <c r="K393" s="43"/>
    </row>
    <row r="394" ht="22.5" customHeight="1">
      <c r="B394" s="19"/>
      <c r="C394" s="19"/>
      <c r="D394" s="100"/>
      <c r="H394" s="42"/>
      <c r="I394" s="22"/>
      <c r="K394" s="43"/>
    </row>
    <row r="395" ht="22.5" customHeight="1">
      <c r="B395" s="19"/>
      <c r="C395" s="19"/>
      <c r="D395" s="100"/>
      <c r="H395" s="42"/>
      <c r="I395" s="22"/>
      <c r="K395" s="43"/>
    </row>
    <row r="396" ht="22.5" customHeight="1">
      <c r="B396" s="19"/>
      <c r="C396" s="19"/>
      <c r="D396" s="100"/>
      <c r="H396" s="42"/>
      <c r="I396" s="22"/>
      <c r="K396" s="43"/>
    </row>
    <row r="397" ht="22.5" customHeight="1">
      <c r="B397" s="19"/>
      <c r="C397" s="19"/>
      <c r="D397" s="100"/>
      <c r="H397" s="42"/>
      <c r="I397" s="22"/>
      <c r="K397" s="43"/>
    </row>
    <row r="398" ht="22.5" customHeight="1">
      <c r="B398" s="19"/>
      <c r="C398" s="19"/>
      <c r="D398" s="100"/>
      <c r="H398" s="42"/>
      <c r="I398" s="22"/>
      <c r="K398" s="43"/>
    </row>
    <row r="399" ht="22.5" customHeight="1">
      <c r="B399" s="19"/>
      <c r="C399" s="19"/>
      <c r="D399" s="100"/>
      <c r="H399" s="42"/>
      <c r="I399" s="22"/>
      <c r="K399" s="43"/>
    </row>
    <row r="400" ht="22.5" customHeight="1">
      <c r="B400" s="19"/>
      <c r="C400" s="19"/>
      <c r="D400" s="100"/>
      <c r="H400" s="42"/>
      <c r="I400" s="22"/>
      <c r="K400" s="43"/>
    </row>
    <row r="401" ht="22.5" customHeight="1">
      <c r="B401" s="19"/>
      <c r="C401" s="19"/>
      <c r="D401" s="100"/>
      <c r="H401" s="42"/>
      <c r="I401" s="22"/>
      <c r="K401" s="43"/>
    </row>
    <row r="402" ht="22.5" customHeight="1">
      <c r="B402" s="19"/>
      <c r="C402" s="19"/>
      <c r="D402" s="100"/>
      <c r="H402" s="42"/>
      <c r="I402" s="22"/>
      <c r="K402" s="43"/>
    </row>
    <row r="403" ht="22.5" customHeight="1">
      <c r="B403" s="19"/>
      <c r="C403" s="19"/>
      <c r="D403" s="100"/>
      <c r="H403" s="42"/>
      <c r="I403" s="22"/>
      <c r="K403" s="43"/>
    </row>
    <row r="404" ht="22.5" customHeight="1">
      <c r="B404" s="19"/>
      <c r="C404" s="19"/>
      <c r="D404" s="100"/>
      <c r="H404" s="42"/>
      <c r="I404" s="22"/>
      <c r="K404" s="43"/>
    </row>
    <row r="405" ht="22.5" customHeight="1">
      <c r="B405" s="19"/>
      <c r="C405" s="19"/>
      <c r="D405" s="100"/>
      <c r="H405" s="42"/>
      <c r="I405" s="22"/>
      <c r="K405" s="43"/>
    </row>
    <row r="406" ht="22.5" customHeight="1">
      <c r="B406" s="19"/>
      <c r="C406" s="19"/>
      <c r="D406" s="100"/>
      <c r="H406" s="42"/>
      <c r="I406" s="22"/>
      <c r="K406" s="43"/>
    </row>
    <row r="407" ht="22.5" customHeight="1">
      <c r="B407" s="19"/>
      <c r="C407" s="19"/>
      <c r="D407" s="100"/>
      <c r="H407" s="42"/>
      <c r="I407" s="22"/>
      <c r="K407" s="43"/>
    </row>
    <row r="408" ht="22.5" customHeight="1">
      <c r="B408" s="19"/>
      <c r="C408" s="19"/>
      <c r="D408" s="100"/>
      <c r="H408" s="42"/>
      <c r="I408" s="22"/>
      <c r="K408" s="43"/>
    </row>
    <row r="409" ht="22.5" customHeight="1">
      <c r="B409" s="19"/>
      <c r="C409" s="19"/>
      <c r="D409" s="100"/>
      <c r="H409" s="42"/>
      <c r="I409" s="22"/>
      <c r="K409" s="43"/>
    </row>
    <row r="410" ht="22.5" customHeight="1">
      <c r="B410" s="19"/>
      <c r="C410" s="19"/>
      <c r="D410" s="100"/>
      <c r="H410" s="42"/>
      <c r="I410" s="22"/>
      <c r="K410" s="43"/>
    </row>
    <row r="411" ht="22.5" customHeight="1">
      <c r="B411" s="19"/>
      <c r="C411" s="19"/>
      <c r="D411" s="100"/>
      <c r="H411" s="42"/>
      <c r="I411" s="22"/>
      <c r="K411" s="43"/>
    </row>
    <row r="412" ht="22.5" customHeight="1">
      <c r="B412" s="19"/>
      <c r="C412" s="19"/>
      <c r="D412" s="100"/>
      <c r="H412" s="42"/>
      <c r="I412" s="22"/>
      <c r="K412" s="43"/>
    </row>
    <row r="413" ht="22.5" customHeight="1">
      <c r="B413" s="19"/>
      <c r="C413" s="19"/>
      <c r="D413" s="100"/>
      <c r="H413" s="42"/>
      <c r="I413" s="22"/>
      <c r="K413" s="43"/>
    </row>
    <row r="414" ht="22.5" customHeight="1">
      <c r="B414" s="19"/>
      <c r="C414" s="19"/>
      <c r="D414" s="100"/>
      <c r="H414" s="42"/>
      <c r="I414" s="22"/>
      <c r="K414" s="43"/>
    </row>
    <row r="415" ht="22.5" customHeight="1">
      <c r="B415" s="19"/>
      <c r="C415" s="19"/>
      <c r="D415" s="100"/>
      <c r="H415" s="42"/>
      <c r="I415" s="22"/>
      <c r="K415" s="43"/>
    </row>
    <row r="416" ht="22.5" customHeight="1">
      <c r="B416" s="19"/>
      <c r="C416" s="19"/>
      <c r="D416" s="100"/>
      <c r="H416" s="42"/>
      <c r="I416" s="22"/>
      <c r="K416" s="43"/>
    </row>
    <row r="417" ht="22.5" customHeight="1">
      <c r="B417" s="19"/>
      <c r="C417" s="19"/>
      <c r="D417" s="100"/>
      <c r="H417" s="42"/>
      <c r="I417" s="22"/>
      <c r="K417" s="43"/>
    </row>
    <row r="418" ht="22.5" customHeight="1">
      <c r="B418" s="19"/>
      <c r="C418" s="19"/>
      <c r="D418" s="100"/>
      <c r="H418" s="42"/>
      <c r="I418" s="22"/>
      <c r="K418" s="43"/>
    </row>
    <row r="419" ht="22.5" customHeight="1">
      <c r="B419" s="19"/>
      <c r="C419" s="19"/>
      <c r="D419" s="100"/>
      <c r="H419" s="42"/>
      <c r="I419" s="22"/>
      <c r="K419" s="43"/>
    </row>
    <row r="420" ht="22.5" customHeight="1">
      <c r="B420" s="19"/>
      <c r="C420" s="19"/>
      <c r="D420" s="100"/>
      <c r="H420" s="42"/>
      <c r="I420" s="22"/>
      <c r="K420" s="43"/>
    </row>
    <row r="421" ht="22.5" customHeight="1">
      <c r="B421" s="19"/>
      <c r="C421" s="19"/>
      <c r="D421" s="100"/>
      <c r="H421" s="42"/>
      <c r="I421" s="22"/>
      <c r="K421" s="43"/>
    </row>
    <row r="422" ht="22.5" customHeight="1">
      <c r="B422" s="19"/>
      <c r="C422" s="19"/>
      <c r="D422" s="100"/>
      <c r="H422" s="42"/>
      <c r="I422" s="22"/>
      <c r="K422" s="43"/>
    </row>
    <row r="423" ht="22.5" customHeight="1">
      <c r="B423" s="19"/>
      <c r="C423" s="19"/>
      <c r="D423" s="100"/>
      <c r="H423" s="42"/>
      <c r="I423" s="22"/>
      <c r="K423" s="43"/>
    </row>
    <row r="424" ht="22.5" customHeight="1">
      <c r="B424" s="19"/>
      <c r="C424" s="19"/>
      <c r="D424" s="100"/>
      <c r="H424" s="42"/>
      <c r="I424" s="22"/>
      <c r="K424" s="43"/>
    </row>
    <row r="425" ht="22.5" customHeight="1">
      <c r="B425" s="19"/>
      <c r="C425" s="19"/>
      <c r="D425" s="100"/>
      <c r="H425" s="42"/>
      <c r="I425" s="22"/>
      <c r="K425" s="43"/>
    </row>
    <row r="426" ht="22.5" customHeight="1">
      <c r="B426" s="19"/>
      <c r="C426" s="19"/>
      <c r="D426" s="100"/>
      <c r="H426" s="42"/>
      <c r="I426" s="22"/>
      <c r="K426" s="43"/>
    </row>
    <row r="427" ht="22.5" customHeight="1">
      <c r="B427" s="19"/>
      <c r="C427" s="19"/>
      <c r="D427" s="100"/>
      <c r="H427" s="42"/>
      <c r="I427" s="22"/>
      <c r="K427" s="43"/>
    </row>
    <row r="428" ht="22.5" customHeight="1">
      <c r="B428" s="19"/>
      <c r="C428" s="19"/>
      <c r="D428" s="100"/>
      <c r="H428" s="42"/>
      <c r="I428" s="22"/>
      <c r="K428" s="43"/>
    </row>
    <row r="429" ht="22.5" customHeight="1">
      <c r="B429" s="19"/>
      <c r="C429" s="19"/>
      <c r="D429" s="100"/>
      <c r="H429" s="42"/>
      <c r="I429" s="22"/>
      <c r="K429" s="43"/>
    </row>
    <row r="430" ht="22.5" customHeight="1">
      <c r="B430" s="19"/>
      <c r="C430" s="19"/>
      <c r="D430" s="100"/>
      <c r="H430" s="42"/>
      <c r="I430" s="22"/>
      <c r="K430" s="43"/>
    </row>
    <row r="431" ht="22.5" customHeight="1">
      <c r="B431" s="19"/>
      <c r="C431" s="19"/>
      <c r="D431" s="100"/>
      <c r="H431" s="42"/>
      <c r="I431" s="22"/>
      <c r="K431" s="43"/>
    </row>
    <row r="432" ht="22.5" customHeight="1">
      <c r="B432" s="19"/>
      <c r="C432" s="19"/>
      <c r="D432" s="100"/>
      <c r="H432" s="42"/>
      <c r="I432" s="22"/>
      <c r="K432" s="43"/>
    </row>
    <row r="433" ht="22.5" customHeight="1">
      <c r="B433" s="19"/>
      <c r="C433" s="19"/>
      <c r="D433" s="100"/>
      <c r="H433" s="42"/>
      <c r="I433" s="22"/>
      <c r="K433" s="43"/>
    </row>
    <row r="434" ht="22.5" customHeight="1">
      <c r="B434" s="19"/>
      <c r="C434" s="19"/>
      <c r="D434" s="100"/>
      <c r="H434" s="42"/>
      <c r="I434" s="22"/>
      <c r="K434" s="43"/>
    </row>
    <row r="435" ht="22.5" customHeight="1">
      <c r="B435" s="19"/>
      <c r="C435" s="19"/>
      <c r="D435" s="100"/>
      <c r="H435" s="42"/>
      <c r="I435" s="22"/>
      <c r="K435" s="43"/>
    </row>
    <row r="436" ht="22.5" customHeight="1">
      <c r="B436" s="19"/>
      <c r="C436" s="19"/>
      <c r="D436" s="100"/>
      <c r="H436" s="42"/>
      <c r="I436" s="22"/>
      <c r="K436" s="43"/>
    </row>
    <row r="437" ht="22.5" customHeight="1">
      <c r="B437" s="19"/>
      <c r="C437" s="19"/>
      <c r="D437" s="100"/>
      <c r="H437" s="42"/>
      <c r="I437" s="22"/>
      <c r="K437" s="43"/>
    </row>
    <row r="438" ht="22.5" customHeight="1">
      <c r="B438" s="19"/>
      <c r="C438" s="19"/>
      <c r="D438" s="100"/>
      <c r="H438" s="42"/>
      <c r="I438" s="22"/>
      <c r="K438" s="43"/>
    </row>
    <row r="439" ht="22.5" customHeight="1">
      <c r="B439" s="19"/>
      <c r="C439" s="19"/>
      <c r="D439" s="100"/>
      <c r="H439" s="42"/>
      <c r="I439" s="22"/>
      <c r="K439" s="43"/>
    </row>
    <row r="440" ht="22.5" customHeight="1">
      <c r="B440" s="19"/>
      <c r="C440" s="19"/>
      <c r="D440" s="100"/>
      <c r="H440" s="42"/>
      <c r="I440" s="22"/>
      <c r="K440" s="43"/>
    </row>
    <row r="441" ht="22.5" customHeight="1">
      <c r="B441" s="19"/>
      <c r="C441" s="19"/>
      <c r="D441" s="100"/>
      <c r="H441" s="42"/>
      <c r="I441" s="22"/>
      <c r="K441" s="43"/>
    </row>
    <row r="442" ht="22.5" customHeight="1">
      <c r="B442" s="19"/>
      <c r="C442" s="19"/>
      <c r="D442" s="100"/>
      <c r="H442" s="42"/>
      <c r="I442" s="22"/>
      <c r="K442" s="43"/>
    </row>
    <row r="443" ht="22.5" customHeight="1">
      <c r="B443" s="19"/>
      <c r="C443" s="19"/>
      <c r="D443" s="100"/>
      <c r="H443" s="42"/>
      <c r="I443" s="22"/>
      <c r="K443" s="43"/>
    </row>
    <row r="444" ht="22.5" customHeight="1">
      <c r="B444" s="19"/>
      <c r="C444" s="19"/>
      <c r="D444" s="100"/>
      <c r="H444" s="42"/>
      <c r="I444" s="22"/>
      <c r="K444" s="43"/>
    </row>
    <row r="445" ht="22.5" customHeight="1">
      <c r="B445" s="19"/>
      <c r="C445" s="19"/>
      <c r="D445" s="100"/>
      <c r="H445" s="42"/>
      <c r="I445" s="22"/>
      <c r="K445" s="43"/>
    </row>
    <row r="446" ht="22.5" customHeight="1">
      <c r="B446" s="19"/>
      <c r="C446" s="19"/>
      <c r="D446" s="100"/>
      <c r="H446" s="42"/>
      <c r="I446" s="22"/>
      <c r="K446" s="43"/>
    </row>
    <row r="447" ht="22.5" customHeight="1">
      <c r="B447" s="19"/>
      <c r="C447" s="19"/>
      <c r="D447" s="100"/>
      <c r="H447" s="42"/>
      <c r="I447" s="22"/>
      <c r="K447" s="43"/>
    </row>
    <row r="448" ht="22.5" customHeight="1">
      <c r="B448" s="19"/>
      <c r="C448" s="19"/>
      <c r="D448" s="100"/>
      <c r="H448" s="42"/>
      <c r="I448" s="22"/>
      <c r="K448" s="43"/>
    </row>
    <row r="449" ht="22.5" customHeight="1">
      <c r="B449" s="19"/>
      <c r="C449" s="19"/>
      <c r="D449" s="100"/>
      <c r="H449" s="42"/>
      <c r="I449" s="22"/>
      <c r="K449" s="43"/>
    </row>
    <row r="450" ht="22.5" customHeight="1">
      <c r="B450" s="19"/>
      <c r="C450" s="19"/>
      <c r="D450" s="100"/>
      <c r="H450" s="42"/>
      <c r="I450" s="22"/>
      <c r="K450" s="43"/>
    </row>
    <row r="451" ht="22.5" customHeight="1">
      <c r="B451" s="19"/>
      <c r="C451" s="19"/>
      <c r="D451" s="100"/>
      <c r="H451" s="42"/>
      <c r="I451" s="22"/>
      <c r="K451" s="43"/>
    </row>
    <row r="452" ht="22.5" customHeight="1">
      <c r="B452" s="19"/>
      <c r="C452" s="19"/>
      <c r="D452" s="100"/>
      <c r="H452" s="42"/>
      <c r="I452" s="22"/>
      <c r="K452" s="43"/>
    </row>
    <row r="453" ht="22.5" customHeight="1">
      <c r="B453" s="19"/>
      <c r="C453" s="19"/>
      <c r="D453" s="100"/>
      <c r="H453" s="42"/>
      <c r="I453" s="22"/>
      <c r="K453" s="43"/>
    </row>
    <row r="454" ht="22.5" customHeight="1">
      <c r="B454" s="19"/>
      <c r="C454" s="19"/>
      <c r="D454" s="100"/>
      <c r="H454" s="42"/>
      <c r="I454" s="22"/>
      <c r="K454" s="43"/>
    </row>
    <row r="455" ht="22.5" customHeight="1">
      <c r="B455" s="19"/>
      <c r="C455" s="19"/>
      <c r="D455" s="100"/>
      <c r="H455" s="42"/>
      <c r="I455" s="22"/>
      <c r="K455" s="43"/>
    </row>
    <row r="456" ht="22.5" customHeight="1">
      <c r="B456" s="19"/>
      <c r="C456" s="19"/>
      <c r="D456" s="100"/>
      <c r="H456" s="42"/>
      <c r="I456" s="22"/>
      <c r="K456" s="43"/>
    </row>
    <row r="457" ht="22.5" customHeight="1">
      <c r="B457" s="19"/>
      <c r="C457" s="19"/>
      <c r="D457" s="100"/>
      <c r="H457" s="42"/>
      <c r="I457" s="22"/>
      <c r="K457" s="43"/>
    </row>
    <row r="458" ht="22.5" customHeight="1">
      <c r="B458" s="19"/>
      <c r="C458" s="19"/>
      <c r="D458" s="100"/>
      <c r="H458" s="42"/>
      <c r="I458" s="22"/>
      <c r="K458" s="43"/>
    </row>
    <row r="459" ht="22.5" customHeight="1">
      <c r="B459" s="19"/>
      <c r="C459" s="19"/>
      <c r="D459" s="100"/>
      <c r="H459" s="42"/>
      <c r="I459" s="22"/>
      <c r="K459" s="43"/>
    </row>
    <row r="460" ht="22.5" customHeight="1">
      <c r="B460" s="19"/>
      <c r="C460" s="19"/>
      <c r="D460" s="100"/>
      <c r="H460" s="42"/>
      <c r="I460" s="22"/>
      <c r="K460" s="43"/>
    </row>
    <row r="461" ht="22.5" customHeight="1">
      <c r="B461" s="19"/>
      <c r="C461" s="19"/>
      <c r="D461" s="100"/>
      <c r="H461" s="42"/>
      <c r="I461" s="22"/>
      <c r="K461" s="43"/>
    </row>
    <row r="462" ht="22.5" customHeight="1">
      <c r="B462" s="19"/>
      <c r="C462" s="19"/>
      <c r="D462" s="100"/>
      <c r="H462" s="42"/>
      <c r="I462" s="22"/>
      <c r="K462" s="43"/>
    </row>
    <row r="463" ht="22.5" customHeight="1">
      <c r="B463" s="19"/>
      <c r="C463" s="19"/>
      <c r="D463" s="100"/>
      <c r="H463" s="42"/>
      <c r="I463" s="22"/>
      <c r="K463" s="43"/>
    </row>
    <row r="464" ht="22.5" customHeight="1">
      <c r="B464" s="19"/>
      <c r="C464" s="19"/>
      <c r="D464" s="100"/>
      <c r="H464" s="42"/>
      <c r="I464" s="22"/>
      <c r="K464" s="43"/>
    </row>
    <row r="465" ht="22.5" customHeight="1">
      <c r="B465" s="19"/>
      <c r="C465" s="19"/>
      <c r="D465" s="100"/>
      <c r="H465" s="42"/>
      <c r="I465" s="22"/>
      <c r="K465" s="43"/>
    </row>
    <row r="466" ht="22.5" customHeight="1">
      <c r="B466" s="19"/>
      <c r="C466" s="19"/>
      <c r="D466" s="100"/>
      <c r="H466" s="42"/>
      <c r="I466" s="22"/>
      <c r="K466" s="43"/>
    </row>
    <row r="467" ht="22.5" customHeight="1">
      <c r="B467" s="19"/>
      <c r="C467" s="19"/>
      <c r="D467" s="100"/>
      <c r="H467" s="42"/>
      <c r="I467" s="22"/>
      <c r="K467" s="43"/>
    </row>
    <row r="468" ht="22.5" customHeight="1">
      <c r="B468" s="19"/>
      <c r="C468" s="19"/>
      <c r="D468" s="100"/>
      <c r="H468" s="42"/>
      <c r="I468" s="22"/>
      <c r="K468" s="43"/>
    </row>
    <row r="469" ht="22.5" customHeight="1">
      <c r="B469" s="19"/>
      <c r="C469" s="19"/>
      <c r="D469" s="100"/>
      <c r="H469" s="42"/>
      <c r="I469" s="22"/>
      <c r="K469" s="43"/>
    </row>
    <row r="470" ht="22.5" customHeight="1">
      <c r="B470" s="19"/>
      <c r="C470" s="19"/>
      <c r="D470" s="100"/>
      <c r="H470" s="42"/>
      <c r="I470" s="22"/>
      <c r="K470" s="43"/>
    </row>
    <row r="471" ht="22.5" customHeight="1">
      <c r="B471" s="19"/>
      <c r="C471" s="19"/>
      <c r="D471" s="100"/>
      <c r="H471" s="42"/>
      <c r="I471" s="22"/>
      <c r="K471" s="43"/>
    </row>
    <row r="472" ht="22.5" customHeight="1">
      <c r="B472" s="19"/>
      <c r="C472" s="19"/>
      <c r="D472" s="100"/>
      <c r="H472" s="42"/>
      <c r="I472" s="22"/>
      <c r="K472" s="43"/>
    </row>
    <row r="473" ht="22.5" customHeight="1">
      <c r="B473" s="19"/>
      <c r="C473" s="19"/>
      <c r="D473" s="100"/>
      <c r="H473" s="42"/>
      <c r="I473" s="22"/>
      <c r="K473" s="43"/>
    </row>
    <row r="474" ht="22.5" customHeight="1">
      <c r="B474" s="19"/>
      <c r="C474" s="19"/>
      <c r="D474" s="100"/>
      <c r="H474" s="42"/>
      <c r="I474" s="22"/>
      <c r="K474" s="43"/>
    </row>
    <row r="475" ht="22.5" customHeight="1">
      <c r="B475" s="19"/>
      <c r="C475" s="19"/>
      <c r="D475" s="100"/>
      <c r="H475" s="42"/>
      <c r="I475" s="22"/>
      <c r="K475" s="43"/>
    </row>
    <row r="476" ht="22.5" customHeight="1">
      <c r="B476" s="19"/>
      <c r="C476" s="19"/>
      <c r="D476" s="100"/>
      <c r="H476" s="42"/>
      <c r="I476" s="22"/>
      <c r="K476" s="43"/>
    </row>
    <row r="477" ht="22.5" customHeight="1">
      <c r="B477" s="19"/>
      <c r="C477" s="19"/>
      <c r="D477" s="100"/>
      <c r="H477" s="42"/>
      <c r="I477" s="22"/>
      <c r="K477" s="43"/>
    </row>
    <row r="478" ht="22.5" customHeight="1">
      <c r="B478" s="19"/>
      <c r="C478" s="19"/>
      <c r="D478" s="100"/>
      <c r="H478" s="42"/>
      <c r="I478" s="22"/>
      <c r="K478" s="43"/>
    </row>
    <row r="479" ht="22.5" customHeight="1">
      <c r="B479" s="19"/>
      <c r="C479" s="19"/>
      <c r="D479" s="100"/>
      <c r="H479" s="42"/>
      <c r="I479" s="22"/>
      <c r="K479" s="43"/>
    </row>
    <row r="480" ht="22.5" customHeight="1">
      <c r="B480" s="19"/>
      <c r="C480" s="19"/>
      <c r="D480" s="100"/>
      <c r="H480" s="42"/>
      <c r="I480" s="22"/>
      <c r="K480" s="43"/>
    </row>
    <row r="481" ht="22.5" customHeight="1">
      <c r="B481" s="19"/>
      <c r="C481" s="19"/>
      <c r="D481" s="100"/>
      <c r="H481" s="42"/>
      <c r="I481" s="22"/>
      <c r="K481" s="43"/>
    </row>
    <row r="482" ht="22.5" customHeight="1">
      <c r="B482" s="19"/>
      <c r="C482" s="19"/>
      <c r="D482" s="100"/>
      <c r="H482" s="42"/>
      <c r="I482" s="22"/>
      <c r="K482" s="43"/>
    </row>
    <row r="483" ht="22.5" customHeight="1">
      <c r="B483" s="19"/>
      <c r="C483" s="19"/>
      <c r="D483" s="100"/>
      <c r="H483" s="42"/>
      <c r="I483" s="22"/>
      <c r="K483" s="43"/>
    </row>
    <row r="484" ht="22.5" customHeight="1">
      <c r="B484" s="19"/>
      <c r="C484" s="19"/>
      <c r="D484" s="100"/>
      <c r="H484" s="42"/>
      <c r="I484" s="22"/>
      <c r="K484" s="43"/>
    </row>
    <row r="485" ht="22.5" customHeight="1">
      <c r="B485" s="19"/>
      <c r="C485" s="19"/>
      <c r="D485" s="100"/>
      <c r="H485" s="42"/>
      <c r="I485" s="22"/>
      <c r="K485" s="43"/>
    </row>
    <row r="486" ht="22.5" customHeight="1">
      <c r="B486" s="19"/>
      <c r="C486" s="19"/>
      <c r="D486" s="100"/>
      <c r="H486" s="42"/>
      <c r="I486" s="22"/>
      <c r="K486" s="43"/>
    </row>
    <row r="487" ht="22.5" customHeight="1">
      <c r="B487" s="19"/>
      <c r="C487" s="19"/>
      <c r="D487" s="100"/>
      <c r="H487" s="42"/>
      <c r="I487" s="22"/>
      <c r="K487" s="43"/>
    </row>
    <row r="488" ht="22.5" customHeight="1">
      <c r="B488" s="19"/>
      <c r="C488" s="19"/>
      <c r="D488" s="100"/>
      <c r="H488" s="42"/>
      <c r="I488" s="22"/>
      <c r="K488" s="43"/>
    </row>
    <row r="489" ht="22.5" customHeight="1">
      <c r="B489" s="19"/>
      <c r="C489" s="19"/>
      <c r="D489" s="100"/>
      <c r="H489" s="42"/>
      <c r="I489" s="22"/>
      <c r="K489" s="43"/>
    </row>
    <row r="490" ht="22.5" customHeight="1">
      <c r="B490" s="19"/>
      <c r="C490" s="19"/>
      <c r="D490" s="100"/>
      <c r="H490" s="42"/>
      <c r="I490" s="22"/>
      <c r="K490" s="43"/>
    </row>
    <row r="491" ht="22.5" customHeight="1">
      <c r="B491" s="19"/>
      <c r="C491" s="19"/>
      <c r="D491" s="100"/>
      <c r="H491" s="42"/>
      <c r="I491" s="22"/>
      <c r="K491" s="43"/>
    </row>
    <row r="492" ht="22.5" customHeight="1">
      <c r="B492" s="19"/>
      <c r="C492" s="19"/>
      <c r="D492" s="100"/>
      <c r="H492" s="42"/>
      <c r="I492" s="22"/>
      <c r="K492" s="43"/>
    </row>
    <row r="493" ht="22.5" customHeight="1">
      <c r="B493" s="19"/>
      <c r="C493" s="19"/>
      <c r="D493" s="100"/>
      <c r="H493" s="42"/>
      <c r="I493" s="22"/>
      <c r="K493" s="43"/>
    </row>
    <row r="494" ht="22.5" customHeight="1">
      <c r="B494" s="19"/>
      <c r="C494" s="19"/>
      <c r="D494" s="100"/>
      <c r="H494" s="42"/>
      <c r="I494" s="22"/>
      <c r="K494" s="43"/>
    </row>
    <row r="495" ht="22.5" customHeight="1">
      <c r="B495" s="19"/>
      <c r="C495" s="19"/>
      <c r="D495" s="100"/>
      <c r="H495" s="42"/>
      <c r="I495" s="22"/>
      <c r="K495" s="43"/>
    </row>
    <row r="496" ht="22.5" customHeight="1">
      <c r="B496" s="19"/>
      <c r="C496" s="19"/>
      <c r="D496" s="100"/>
      <c r="H496" s="42"/>
      <c r="I496" s="22"/>
      <c r="K496" s="43"/>
    </row>
    <row r="497" ht="22.5" customHeight="1">
      <c r="B497" s="19"/>
      <c r="C497" s="19"/>
      <c r="D497" s="100"/>
      <c r="H497" s="42"/>
      <c r="I497" s="22"/>
      <c r="K497" s="43"/>
    </row>
    <row r="498" ht="22.5" customHeight="1">
      <c r="B498" s="19"/>
      <c r="C498" s="19"/>
      <c r="D498" s="100"/>
      <c r="H498" s="42"/>
      <c r="I498" s="22"/>
      <c r="K498" s="43"/>
    </row>
    <row r="499" ht="22.5" customHeight="1">
      <c r="B499" s="19"/>
      <c r="C499" s="19"/>
      <c r="D499" s="100"/>
      <c r="H499" s="42"/>
      <c r="I499" s="22"/>
      <c r="K499" s="43"/>
    </row>
    <row r="500" ht="22.5" customHeight="1">
      <c r="B500" s="19"/>
      <c r="C500" s="19"/>
      <c r="D500" s="100"/>
      <c r="H500" s="42"/>
      <c r="I500" s="22"/>
      <c r="K500" s="43"/>
    </row>
    <row r="501" ht="22.5" customHeight="1">
      <c r="B501" s="19"/>
      <c r="C501" s="19"/>
      <c r="D501" s="100"/>
      <c r="H501" s="42"/>
      <c r="I501" s="22"/>
      <c r="K501" s="43"/>
    </row>
    <row r="502" ht="22.5" customHeight="1">
      <c r="B502" s="19"/>
      <c r="C502" s="19"/>
      <c r="D502" s="100"/>
      <c r="H502" s="42"/>
      <c r="I502" s="22"/>
      <c r="K502" s="43"/>
    </row>
    <row r="503" ht="22.5" customHeight="1">
      <c r="B503" s="19"/>
      <c r="C503" s="19"/>
      <c r="D503" s="100"/>
      <c r="H503" s="42"/>
      <c r="I503" s="22"/>
      <c r="K503" s="43"/>
    </row>
    <row r="504" ht="22.5" customHeight="1">
      <c r="B504" s="19"/>
      <c r="C504" s="19"/>
      <c r="D504" s="100"/>
      <c r="H504" s="42"/>
      <c r="I504" s="22"/>
      <c r="K504" s="43"/>
    </row>
    <row r="505" ht="22.5" customHeight="1">
      <c r="B505" s="19"/>
      <c r="C505" s="19"/>
      <c r="D505" s="100"/>
      <c r="H505" s="42"/>
      <c r="I505" s="22"/>
      <c r="K505" s="43"/>
    </row>
    <row r="506" ht="22.5" customHeight="1">
      <c r="B506" s="19"/>
      <c r="C506" s="19"/>
      <c r="D506" s="100"/>
      <c r="H506" s="42"/>
      <c r="I506" s="22"/>
      <c r="K506" s="43"/>
    </row>
    <row r="507" ht="22.5" customHeight="1">
      <c r="B507" s="19"/>
      <c r="C507" s="19"/>
      <c r="D507" s="100"/>
      <c r="H507" s="42"/>
      <c r="I507" s="22"/>
      <c r="K507" s="43"/>
    </row>
    <row r="508" ht="22.5" customHeight="1">
      <c r="B508" s="19"/>
      <c r="C508" s="19"/>
      <c r="D508" s="100"/>
      <c r="H508" s="42"/>
      <c r="I508" s="22"/>
      <c r="K508" s="43"/>
    </row>
    <row r="509" ht="22.5" customHeight="1">
      <c r="B509" s="19"/>
      <c r="C509" s="19"/>
      <c r="D509" s="100"/>
      <c r="H509" s="42"/>
      <c r="I509" s="22"/>
      <c r="K509" s="43"/>
    </row>
    <row r="510" ht="22.5" customHeight="1">
      <c r="B510" s="19"/>
      <c r="C510" s="19"/>
      <c r="D510" s="100"/>
      <c r="H510" s="42"/>
      <c r="I510" s="22"/>
      <c r="K510" s="43"/>
    </row>
    <row r="511" ht="22.5" customHeight="1">
      <c r="B511" s="19"/>
      <c r="C511" s="19"/>
      <c r="D511" s="100"/>
      <c r="H511" s="42"/>
      <c r="I511" s="22"/>
      <c r="K511" s="43"/>
    </row>
    <row r="512" ht="22.5" customHeight="1">
      <c r="B512" s="19"/>
      <c r="C512" s="19"/>
      <c r="D512" s="100"/>
      <c r="H512" s="42"/>
      <c r="I512" s="22"/>
      <c r="K512" s="43"/>
    </row>
    <row r="513" ht="22.5" customHeight="1">
      <c r="B513" s="19"/>
      <c r="C513" s="19"/>
      <c r="D513" s="100"/>
      <c r="H513" s="42"/>
      <c r="I513" s="22"/>
      <c r="K513" s="43"/>
    </row>
    <row r="514" ht="22.5" customHeight="1">
      <c r="B514" s="19"/>
      <c r="C514" s="19"/>
      <c r="D514" s="100"/>
      <c r="H514" s="42"/>
      <c r="I514" s="22"/>
      <c r="K514" s="43"/>
    </row>
    <row r="515" ht="22.5" customHeight="1">
      <c r="B515" s="19"/>
      <c r="C515" s="19"/>
      <c r="D515" s="100"/>
      <c r="H515" s="42"/>
      <c r="I515" s="22"/>
      <c r="K515" s="43"/>
    </row>
    <row r="516" ht="22.5" customHeight="1">
      <c r="B516" s="19"/>
      <c r="C516" s="19"/>
      <c r="D516" s="100"/>
      <c r="H516" s="42"/>
      <c r="I516" s="22"/>
      <c r="K516" s="43"/>
    </row>
    <row r="517" ht="22.5" customHeight="1">
      <c r="B517" s="19"/>
      <c r="C517" s="19"/>
      <c r="D517" s="100"/>
      <c r="H517" s="42"/>
      <c r="I517" s="22"/>
      <c r="K517" s="43"/>
    </row>
    <row r="518" ht="22.5" customHeight="1">
      <c r="B518" s="19"/>
      <c r="C518" s="19"/>
      <c r="D518" s="100"/>
      <c r="H518" s="42"/>
      <c r="I518" s="22"/>
      <c r="K518" s="43"/>
    </row>
    <row r="519" ht="22.5" customHeight="1">
      <c r="B519" s="19"/>
      <c r="C519" s="19"/>
      <c r="D519" s="100"/>
      <c r="H519" s="42"/>
      <c r="I519" s="22"/>
      <c r="K519" s="43"/>
    </row>
    <row r="520" ht="22.5" customHeight="1">
      <c r="B520" s="19"/>
      <c r="C520" s="19"/>
      <c r="D520" s="100"/>
      <c r="H520" s="42"/>
      <c r="I520" s="22"/>
      <c r="K520" s="43"/>
    </row>
    <row r="521" ht="22.5" customHeight="1">
      <c r="B521" s="19"/>
      <c r="C521" s="19"/>
      <c r="D521" s="100"/>
      <c r="H521" s="42"/>
      <c r="I521" s="22"/>
      <c r="K521" s="43"/>
    </row>
    <row r="522" ht="22.5" customHeight="1">
      <c r="B522" s="19"/>
      <c r="C522" s="19"/>
      <c r="D522" s="100"/>
      <c r="H522" s="42"/>
      <c r="I522" s="22"/>
      <c r="K522" s="43"/>
    </row>
    <row r="523" ht="22.5" customHeight="1">
      <c r="B523" s="19"/>
      <c r="C523" s="19"/>
      <c r="D523" s="100"/>
      <c r="H523" s="42"/>
      <c r="I523" s="22"/>
      <c r="K523" s="43"/>
    </row>
    <row r="524" ht="22.5" customHeight="1">
      <c r="B524" s="19"/>
      <c r="C524" s="19"/>
      <c r="D524" s="100"/>
      <c r="H524" s="42"/>
      <c r="I524" s="22"/>
      <c r="K524" s="43"/>
    </row>
    <row r="525" ht="22.5" customHeight="1">
      <c r="B525" s="19"/>
      <c r="C525" s="19"/>
      <c r="D525" s="100"/>
      <c r="H525" s="42"/>
      <c r="I525" s="22"/>
      <c r="K525" s="43"/>
    </row>
    <row r="526" ht="22.5" customHeight="1">
      <c r="B526" s="19"/>
      <c r="C526" s="19"/>
      <c r="D526" s="100"/>
      <c r="H526" s="42"/>
      <c r="I526" s="22"/>
      <c r="K526" s="43"/>
    </row>
    <row r="527" ht="22.5" customHeight="1">
      <c r="B527" s="19"/>
      <c r="C527" s="19"/>
      <c r="D527" s="100"/>
      <c r="H527" s="42"/>
      <c r="I527" s="22"/>
      <c r="K527" s="43"/>
    </row>
    <row r="528" ht="22.5" customHeight="1">
      <c r="B528" s="19"/>
      <c r="C528" s="19"/>
      <c r="D528" s="100"/>
      <c r="H528" s="42"/>
      <c r="I528" s="22"/>
      <c r="K528" s="43"/>
    </row>
    <row r="529" ht="22.5" customHeight="1">
      <c r="B529" s="19"/>
      <c r="C529" s="19"/>
      <c r="D529" s="100"/>
      <c r="H529" s="42"/>
      <c r="I529" s="22"/>
      <c r="K529" s="43"/>
    </row>
    <row r="530" ht="22.5" customHeight="1">
      <c r="B530" s="19"/>
      <c r="C530" s="19"/>
      <c r="D530" s="100"/>
      <c r="H530" s="42"/>
      <c r="I530" s="22"/>
      <c r="K530" s="43"/>
    </row>
    <row r="531" ht="22.5" customHeight="1">
      <c r="B531" s="19"/>
      <c r="C531" s="19"/>
      <c r="D531" s="100"/>
      <c r="H531" s="42"/>
      <c r="I531" s="22"/>
      <c r="K531" s="43"/>
    </row>
    <row r="532" ht="22.5" customHeight="1">
      <c r="B532" s="19"/>
      <c r="C532" s="19"/>
      <c r="D532" s="100"/>
      <c r="H532" s="42"/>
      <c r="I532" s="22"/>
      <c r="K532" s="43"/>
    </row>
    <row r="533" ht="22.5" customHeight="1">
      <c r="B533" s="19"/>
      <c r="C533" s="19"/>
      <c r="D533" s="100"/>
      <c r="H533" s="42"/>
      <c r="I533" s="22"/>
      <c r="K533" s="43"/>
    </row>
    <row r="534" ht="22.5" customHeight="1">
      <c r="B534" s="19"/>
      <c r="C534" s="19"/>
      <c r="D534" s="100"/>
      <c r="H534" s="42"/>
      <c r="I534" s="22"/>
      <c r="K534" s="43"/>
    </row>
    <row r="535" ht="22.5" customHeight="1">
      <c r="B535" s="19"/>
      <c r="C535" s="19"/>
      <c r="D535" s="100"/>
      <c r="H535" s="42"/>
      <c r="I535" s="22"/>
      <c r="K535" s="43"/>
    </row>
    <row r="536" ht="22.5" customHeight="1">
      <c r="B536" s="19"/>
      <c r="C536" s="19"/>
      <c r="D536" s="100"/>
      <c r="H536" s="42"/>
      <c r="I536" s="22"/>
      <c r="K536" s="43"/>
    </row>
    <row r="537" ht="22.5" customHeight="1">
      <c r="B537" s="19"/>
      <c r="C537" s="19"/>
      <c r="D537" s="100"/>
      <c r="H537" s="42"/>
      <c r="I537" s="22"/>
      <c r="K537" s="43"/>
    </row>
    <row r="538" ht="22.5" customHeight="1">
      <c r="B538" s="19"/>
      <c r="C538" s="19"/>
      <c r="D538" s="100"/>
      <c r="H538" s="42"/>
      <c r="I538" s="22"/>
      <c r="K538" s="43"/>
    </row>
    <row r="539" ht="22.5" customHeight="1">
      <c r="B539" s="19"/>
      <c r="C539" s="19"/>
      <c r="D539" s="100"/>
      <c r="H539" s="42"/>
      <c r="I539" s="22"/>
      <c r="K539" s="43"/>
    </row>
    <row r="540" ht="22.5" customHeight="1">
      <c r="B540" s="19"/>
      <c r="C540" s="19"/>
      <c r="D540" s="100"/>
      <c r="H540" s="42"/>
      <c r="I540" s="22"/>
      <c r="K540" s="43"/>
    </row>
    <row r="541" ht="22.5" customHeight="1">
      <c r="B541" s="19"/>
      <c r="C541" s="19"/>
      <c r="D541" s="100"/>
      <c r="H541" s="42"/>
      <c r="I541" s="22"/>
      <c r="K541" s="43"/>
    </row>
    <row r="542" ht="22.5" customHeight="1">
      <c r="B542" s="19"/>
      <c r="C542" s="19"/>
      <c r="D542" s="100"/>
      <c r="H542" s="42"/>
      <c r="I542" s="22"/>
      <c r="K542" s="43"/>
    </row>
    <row r="543" ht="22.5" customHeight="1">
      <c r="B543" s="19"/>
      <c r="C543" s="19"/>
      <c r="D543" s="100"/>
      <c r="H543" s="42"/>
      <c r="I543" s="22"/>
      <c r="K543" s="43"/>
    </row>
    <row r="544" ht="22.5" customHeight="1">
      <c r="B544" s="19"/>
      <c r="C544" s="19"/>
      <c r="D544" s="100"/>
      <c r="H544" s="42"/>
      <c r="I544" s="22"/>
      <c r="K544" s="43"/>
    </row>
    <row r="545" ht="22.5" customHeight="1">
      <c r="B545" s="19"/>
      <c r="C545" s="19"/>
      <c r="D545" s="100"/>
      <c r="H545" s="42"/>
      <c r="I545" s="22"/>
      <c r="K545" s="43"/>
    </row>
    <row r="546" ht="22.5" customHeight="1">
      <c r="B546" s="19"/>
      <c r="C546" s="19"/>
      <c r="D546" s="100"/>
      <c r="H546" s="42"/>
      <c r="I546" s="22"/>
      <c r="K546" s="43"/>
    </row>
    <row r="547" ht="22.5" customHeight="1">
      <c r="B547" s="19"/>
      <c r="C547" s="19"/>
      <c r="D547" s="100"/>
      <c r="H547" s="42"/>
      <c r="I547" s="22"/>
      <c r="K547" s="43"/>
    </row>
    <row r="548" ht="22.5" customHeight="1">
      <c r="B548" s="19"/>
      <c r="C548" s="19"/>
      <c r="D548" s="100"/>
      <c r="H548" s="42"/>
      <c r="I548" s="22"/>
      <c r="K548" s="43"/>
    </row>
    <row r="549" ht="22.5" customHeight="1">
      <c r="B549" s="19"/>
      <c r="C549" s="19"/>
      <c r="D549" s="100"/>
      <c r="H549" s="42"/>
      <c r="I549" s="22"/>
      <c r="K549" s="43"/>
    </row>
    <row r="550" ht="22.5" customHeight="1">
      <c r="B550" s="19"/>
      <c r="C550" s="19"/>
      <c r="D550" s="100"/>
      <c r="H550" s="42"/>
      <c r="I550" s="22"/>
      <c r="K550" s="43"/>
    </row>
    <row r="551" ht="22.5" customHeight="1">
      <c r="B551" s="19"/>
      <c r="C551" s="19"/>
      <c r="D551" s="100"/>
      <c r="H551" s="42"/>
      <c r="I551" s="22"/>
      <c r="K551" s="43"/>
    </row>
    <row r="552" ht="22.5" customHeight="1">
      <c r="B552" s="19"/>
      <c r="C552" s="19"/>
      <c r="D552" s="100"/>
      <c r="H552" s="42"/>
      <c r="I552" s="22"/>
      <c r="K552" s="43"/>
    </row>
    <row r="553" ht="22.5" customHeight="1">
      <c r="B553" s="19"/>
      <c r="C553" s="19"/>
      <c r="D553" s="100"/>
      <c r="H553" s="42"/>
      <c r="I553" s="22"/>
      <c r="K553" s="43"/>
    </row>
    <row r="554" ht="22.5" customHeight="1">
      <c r="B554" s="19"/>
      <c r="C554" s="19"/>
      <c r="D554" s="100"/>
      <c r="H554" s="42"/>
      <c r="I554" s="22"/>
      <c r="K554" s="43"/>
    </row>
    <row r="555" ht="22.5" customHeight="1">
      <c r="B555" s="19"/>
      <c r="C555" s="19"/>
      <c r="D555" s="100"/>
      <c r="H555" s="42"/>
      <c r="I555" s="22"/>
      <c r="K555" s="43"/>
    </row>
    <row r="556" ht="22.5" customHeight="1">
      <c r="B556" s="19"/>
      <c r="C556" s="19"/>
      <c r="D556" s="100"/>
      <c r="H556" s="42"/>
      <c r="I556" s="22"/>
      <c r="K556" s="43"/>
    </row>
    <row r="557" ht="22.5" customHeight="1">
      <c r="B557" s="19"/>
      <c r="C557" s="19"/>
      <c r="D557" s="100"/>
      <c r="H557" s="42"/>
      <c r="I557" s="22"/>
      <c r="K557" s="43"/>
    </row>
    <row r="558" ht="22.5" customHeight="1">
      <c r="B558" s="19"/>
      <c r="C558" s="19"/>
      <c r="D558" s="100"/>
      <c r="H558" s="42"/>
      <c r="I558" s="22"/>
      <c r="K558" s="43"/>
    </row>
    <row r="559" ht="22.5" customHeight="1">
      <c r="B559" s="19"/>
      <c r="C559" s="19"/>
      <c r="D559" s="100"/>
      <c r="H559" s="42"/>
      <c r="I559" s="22"/>
      <c r="K559" s="43"/>
    </row>
    <row r="560" ht="22.5" customHeight="1">
      <c r="B560" s="19"/>
      <c r="C560" s="19"/>
      <c r="D560" s="100"/>
      <c r="H560" s="42"/>
      <c r="I560" s="22"/>
      <c r="K560" s="43"/>
    </row>
    <row r="561" ht="22.5" customHeight="1">
      <c r="B561" s="19"/>
      <c r="C561" s="19"/>
      <c r="D561" s="100"/>
      <c r="H561" s="42"/>
      <c r="I561" s="22"/>
      <c r="K561" s="43"/>
    </row>
    <row r="562" ht="22.5" customHeight="1">
      <c r="B562" s="19"/>
      <c r="C562" s="19"/>
      <c r="D562" s="100"/>
      <c r="H562" s="42"/>
      <c r="I562" s="22"/>
      <c r="K562" s="43"/>
    </row>
    <row r="563" ht="22.5" customHeight="1">
      <c r="B563" s="19"/>
      <c r="C563" s="19"/>
      <c r="D563" s="100"/>
      <c r="H563" s="42"/>
      <c r="I563" s="22"/>
      <c r="K563" s="43"/>
    </row>
    <row r="564" ht="22.5" customHeight="1">
      <c r="B564" s="19"/>
      <c r="C564" s="19"/>
      <c r="D564" s="100"/>
      <c r="H564" s="42"/>
      <c r="I564" s="22"/>
      <c r="K564" s="43"/>
    </row>
    <row r="565" ht="22.5" customHeight="1">
      <c r="B565" s="19"/>
      <c r="C565" s="19"/>
      <c r="D565" s="100"/>
      <c r="H565" s="42"/>
      <c r="I565" s="22"/>
      <c r="K565" s="43"/>
    </row>
    <row r="566" ht="22.5" customHeight="1">
      <c r="B566" s="19"/>
      <c r="C566" s="19"/>
      <c r="D566" s="100"/>
      <c r="H566" s="42"/>
      <c r="I566" s="22"/>
      <c r="K566" s="43"/>
    </row>
    <row r="567" ht="22.5" customHeight="1">
      <c r="B567" s="19"/>
      <c r="C567" s="19"/>
      <c r="D567" s="100"/>
      <c r="H567" s="42"/>
      <c r="I567" s="22"/>
      <c r="K567" s="43"/>
    </row>
    <row r="568" ht="22.5" customHeight="1">
      <c r="B568" s="19"/>
      <c r="C568" s="19"/>
      <c r="D568" s="100"/>
      <c r="H568" s="42"/>
      <c r="I568" s="22"/>
      <c r="K568" s="43"/>
    </row>
    <row r="569" ht="22.5" customHeight="1">
      <c r="B569" s="19"/>
      <c r="C569" s="19"/>
      <c r="D569" s="100"/>
      <c r="H569" s="42"/>
      <c r="I569" s="22"/>
      <c r="K569" s="43"/>
    </row>
    <row r="570" ht="22.5" customHeight="1">
      <c r="B570" s="19"/>
      <c r="C570" s="19"/>
      <c r="D570" s="100"/>
      <c r="H570" s="42"/>
      <c r="I570" s="22"/>
      <c r="K570" s="43"/>
    </row>
    <row r="571" ht="22.5" customHeight="1">
      <c r="B571" s="19"/>
      <c r="C571" s="19"/>
      <c r="D571" s="100"/>
      <c r="H571" s="42"/>
      <c r="I571" s="22"/>
      <c r="K571" s="43"/>
    </row>
    <row r="572" ht="22.5" customHeight="1">
      <c r="B572" s="19"/>
      <c r="C572" s="19"/>
      <c r="D572" s="100"/>
      <c r="H572" s="42"/>
      <c r="I572" s="22"/>
      <c r="K572" s="43"/>
    </row>
    <row r="573" ht="22.5" customHeight="1">
      <c r="B573" s="19"/>
      <c r="C573" s="19"/>
      <c r="D573" s="100"/>
      <c r="H573" s="42"/>
      <c r="I573" s="22"/>
      <c r="K573" s="43"/>
    </row>
    <row r="574" ht="22.5" customHeight="1">
      <c r="B574" s="19"/>
      <c r="C574" s="19"/>
      <c r="D574" s="100"/>
      <c r="H574" s="42"/>
      <c r="I574" s="22"/>
      <c r="K574" s="43"/>
    </row>
    <row r="575" ht="22.5" customHeight="1">
      <c r="B575" s="19"/>
      <c r="C575" s="19"/>
      <c r="D575" s="100"/>
      <c r="H575" s="42"/>
      <c r="I575" s="22"/>
      <c r="K575" s="43"/>
    </row>
    <row r="576" ht="22.5" customHeight="1">
      <c r="B576" s="19"/>
      <c r="C576" s="19"/>
      <c r="D576" s="100"/>
      <c r="H576" s="42"/>
      <c r="I576" s="22"/>
      <c r="K576" s="43"/>
    </row>
    <row r="577" ht="22.5" customHeight="1">
      <c r="B577" s="19"/>
      <c r="C577" s="19"/>
      <c r="D577" s="100"/>
      <c r="H577" s="42"/>
      <c r="I577" s="22"/>
      <c r="K577" s="43"/>
    </row>
    <row r="578" ht="22.5" customHeight="1">
      <c r="B578" s="19"/>
      <c r="C578" s="19"/>
      <c r="D578" s="100"/>
      <c r="H578" s="42"/>
      <c r="I578" s="22"/>
      <c r="K578" s="43"/>
    </row>
    <row r="579" ht="22.5" customHeight="1">
      <c r="B579" s="19"/>
      <c r="C579" s="19"/>
      <c r="D579" s="100"/>
      <c r="H579" s="42"/>
      <c r="I579" s="22"/>
      <c r="K579" s="43"/>
    </row>
    <row r="580" ht="22.5" customHeight="1">
      <c r="B580" s="19"/>
      <c r="C580" s="19"/>
      <c r="D580" s="100"/>
      <c r="H580" s="42"/>
      <c r="I580" s="22"/>
      <c r="K580" s="43"/>
    </row>
    <row r="581" ht="22.5" customHeight="1">
      <c r="B581" s="19"/>
      <c r="C581" s="19"/>
      <c r="D581" s="100"/>
      <c r="H581" s="42"/>
      <c r="I581" s="22"/>
      <c r="K581" s="43"/>
    </row>
    <row r="582" ht="22.5" customHeight="1">
      <c r="B582" s="19"/>
      <c r="C582" s="19"/>
      <c r="D582" s="100"/>
      <c r="H582" s="42"/>
      <c r="I582" s="22"/>
      <c r="K582" s="43"/>
    </row>
    <row r="583" ht="22.5" customHeight="1">
      <c r="B583" s="19"/>
      <c r="C583" s="19"/>
      <c r="D583" s="100"/>
      <c r="H583" s="42"/>
      <c r="I583" s="22"/>
      <c r="K583" s="43"/>
    </row>
    <row r="584" ht="22.5" customHeight="1">
      <c r="B584" s="19"/>
      <c r="C584" s="19"/>
      <c r="D584" s="100"/>
      <c r="H584" s="42"/>
      <c r="I584" s="22"/>
      <c r="K584" s="43"/>
    </row>
    <row r="585" ht="22.5" customHeight="1">
      <c r="B585" s="19"/>
      <c r="C585" s="19"/>
      <c r="D585" s="100"/>
      <c r="H585" s="42"/>
      <c r="I585" s="22"/>
      <c r="K585" s="43"/>
    </row>
    <row r="586" ht="22.5" customHeight="1">
      <c r="B586" s="19"/>
      <c r="C586" s="19"/>
      <c r="D586" s="100"/>
      <c r="H586" s="42"/>
      <c r="I586" s="22"/>
      <c r="K586" s="43"/>
    </row>
    <row r="587" ht="22.5" customHeight="1">
      <c r="B587" s="19"/>
      <c r="C587" s="19"/>
      <c r="D587" s="100"/>
      <c r="H587" s="42"/>
      <c r="I587" s="22"/>
      <c r="K587" s="43"/>
    </row>
    <row r="588" ht="22.5" customHeight="1">
      <c r="B588" s="19"/>
      <c r="C588" s="19"/>
      <c r="D588" s="100"/>
      <c r="H588" s="42"/>
      <c r="I588" s="22"/>
      <c r="K588" s="43"/>
    </row>
    <row r="589" ht="22.5" customHeight="1">
      <c r="B589" s="19"/>
      <c r="C589" s="19"/>
      <c r="D589" s="100"/>
      <c r="H589" s="42"/>
      <c r="I589" s="22"/>
      <c r="K589" s="43"/>
    </row>
    <row r="590" ht="22.5" customHeight="1">
      <c r="B590" s="19"/>
      <c r="C590" s="19"/>
      <c r="D590" s="100"/>
      <c r="H590" s="42"/>
      <c r="I590" s="22"/>
      <c r="K590" s="43"/>
    </row>
    <row r="591" ht="22.5" customHeight="1">
      <c r="B591" s="19"/>
      <c r="C591" s="19"/>
      <c r="D591" s="100"/>
      <c r="H591" s="42"/>
      <c r="I591" s="22"/>
      <c r="K591" s="43"/>
    </row>
    <row r="592" ht="22.5" customHeight="1">
      <c r="B592" s="19"/>
      <c r="C592" s="19"/>
      <c r="D592" s="100"/>
      <c r="H592" s="42"/>
      <c r="I592" s="22"/>
      <c r="K592" s="43"/>
    </row>
    <row r="593" ht="22.5" customHeight="1">
      <c r="B593" s="19"/>
      <c r="C593" s="19"/>
      <c r="D593" s="100"/>
      <c r="H593" s="42"/>
      <c r="I593" s="22"/>
      <c r="K593" s="43"/>
    </row>
    <row r="594" ht="22.5" customHeight="1">
      <c r="B594" s="19"/>
      <c r="C594" s="19"/>
      <c r="D594" s="100"/>
      <c r="H594" s="42"/>
      <c r="I594" s="22"/>
      <c r="K594" s="43"/>
    </row>
    <row r="595" ht="22.5" customHeight="1">
      <c r="B595" s="19"/>
      <c r="C595" s="19"/>
      <c r="D595" s="100"/>
      <c r="H595" s="42"/>
      <c r="I595" s="22"/>
      <c r="K595" s="43"/>
    </row>
    <row r="596" ht="22.5" customHeight="1">
      <c r="B596" s="19"/>
      <c r="C596" s="19"/>
      <c r="D596" s="100"/>
      <c r="H596" s="42"/>
      <c r="I596" s="22"/>
      <c r="K596" s="43"/>
    </row>
    <row r="597" ht="22.5" customHeight="1">
      <c r="B597" s="19"/>
      <c r="C597" s="19"/>
      <c r="D597" s="100"/>
      <c r="H597" s="42"/>
      <c r="I597" s="22"/>
      <c r="K597" s="43"/>
    </row>
    <row r="598" ht="22.5" customHeight="1">
      <c r="B598" s="19"/>
      <c r="C598" s="19"/>
      <c r="D598" s="100"/>
      <c r="H598" s="42"/>
      <c r="I598" s="22"/>
      <c r="K598" s="43"/>
    </row>
    <row r="599" ht="22.5" customHeight="1">
      <c r="B599" s="19"/>
      <c r="C599" s="19"/>
      <c r="D599" s="100"/>
      <c r="H599" s="42"/>
      <c r="I599" s="22"/>
      <c r="K599" s="43"/>
    </row>
    <row r="600" ht="22.5" customHeight="1">
      <c r="B600" s="19"/>
      <c r="C600" s="19"/>
      <c r="D600" s="100"/>
      <c r="H600" s="42"/>
      <c r="I600" s="22"/>
      <c r="K600" s="43"/>
    </row>
    <row r="601" ht="22.5" customHeight="1">
      <c r="B601" s="19"/>
      <c r="C601" s="19"/>
      <c r="D601" s="100"/>
      <c r="H601" s="42"/>
      <c r="I601" s="22"/>
      <c r="K601" s="43"/>
    </row>
    <row r="602" ht="22.5" customHeight="1">
      <c r="B602" s="19"/>
      <c r="C602" s="19"/>
      <c r="D602" s="100"/>
      <c r="H602" s="42"/>
      <c r="I602" s="22"/>
      <c r="K602" s="43"/>
    </row>
    <row r="603" ht="22.5" customHeight="1">
      <c r="B603" s="19"/>
      <c r="C603" s="19"/>
      <c r="D603" s="100"/>
      <c r="H603" s="42"/>
      <c r="I603" s="22"/>
      <c r="K603" s="43"/>
    </row>
    <row r="604" ht="22.5" customHeight="1">
      <c r="B604" s="19"/>
      <c r="C604" s="19"/>
      <c r="D604" s="100"/>
      <c r="H604" s="42"/>
      <c r="I604" s="22"/>
      <c r="K604" s="43"/>
    </row>
    <row r="605" ht="22.5" customHeight="1">
      <c r="B605" s="19"/>
      <c r="C605" s="19"/>
      <c r="D605" s="100"/>
      <c r="H605" s="42"/>
      <c r="I605" s="22"/>
      <c r="K605" s="43"/>
    </row>
    <row r="606" ht="22.5" customHeight="1">
      <c r="B606" s="19"/>
      <c r="C606" s="19"/>
      <c r="D606" s="100"/>
      <c r="H606" s="42"/>
      <c r="I606" s="22"/>
      <c r="K606" s="43"/>
    </row>
    <row r="607" ht="22.5" customHeight="1">
      <c r="B607" s="19"/>
      <c r="C607" s="19"/>
      <c r="D607" s="100"/>
      <c r="H607" s="42"/>
      <c r="I607" s="22"/>
      <c r="K607" s="43"/>
    </row>
    <row r="608" ht="22.5" customHeight="1">
      <c r="B608" s="19"/>
      <c r="C608" s="19"/>
      <c r="D608" s="100"/>
      <c r="H608" s="42"/>
      <c r="I608" s="22"/>
      <c r="K608" s="43"/>
    </row>
    <row r="609" ht="22.5" customHeight="1">
      <c r="B609" s="19"/>
      <c r="C609" s="19"/>
      <c r="D609" s="100"/>
      <c r="H609" s="42"/>
      <c r="I609" s="22"/>
      <c r="K609" s="43"/>
    </row>
    <row r="610" ht="22.5" customHeight="1">
      <c r="B610" s="19"/>
      <c r="C610" s="19"/>
      <c r="D610" s="100"/>
      <c r="H610" s="42"/>
      <c r="I610" s="22"/>
      <c r="K610" s="43"/>
    </row>
    <row r="611" ht="22.5" customHeight="1">
      <c r="B611" s="19"/>
      <c r="C611" s="19"/>
      <c r="D611" s="100"/>
      <c r="H611" s="42"/>
      <c r="I611" s="22"/>
      <c r="K611" s="43"/>
    </row>
    <row r="612" ht="22.5" customHeight="1">
      <c r="B612" s="19"/>
      <c r="C612" s="19"/>
      <c r="D612" s="100"/>
      <c r="H612" s="42"/>
      <c r="I612" s="22"/>
      <c r="K612" s="43"/>
    </row>
    <row r="613" ht="22.5" customHeight="1">
      <c r="B613" s="19"/>
      <c r="C613" s="19"/>
      <c r="D613" s="100"/>
      <c r="H613" s="42"/>
      <c r="I613" s="22"/>
      <c r="K613" s="43"/>
    </row>
    <row r="614" ht="22.5" customHeight="1">
      <c r="B614" s="19"/>
      <c r="C614" s="19"/>
      <c r="D614" s="100"/>
      <c r="H614" s="42"/>
      <c r="I614" s="22"/>
      <c r="K614" s="43"/>
    </row>
    <row r="615" ht="22.5" customHeight="1">
      <c r="B615" s="19"/>
      <c r="C615" s="19"/>
      <c r="D615" s="100"/>
      <c r="H615" s="42"/>
      <c r="I615" s="22"/>
      <c r="K615" s="43"/>
    </row>
    <row r="616" ht="22.5" customHeight="1">
      <c r="B616" s="19"/>
      <c r="C616" s="19"/>
      <c r="D616" s="100"/>
      <c r="H616" s="42"/>
      <c r="I616" s="22"/>
      <c r="K616" s="43"/>
    </row>
    <row r="617" ht="22.5" customHeight="1">
      <c r="B617" s="19"/>
      <c r="C617" s="19"/>
      <c r="D617" s="100"/>
      <c r="H617" s="42"/>
      <c r="I617" s="22"/>
      <c r="K617" s="43"/>
    </row>
    <row r="618" ht="22.5" customHeight="1">
      <c r="B618" s="19"/>
      <c r="C618" s="19"/>
      <c r="D618" s="100"/>
      <c r="H618" s="42"/>
      <c r="I618" s="22"/>
      <c r="K618" s="43"/>
    </row>
    <row r="619" ht="22.5" customHeight="1">
      <c r="B619" s="19"/>
      <c r="C619" s="19"/>
      <c r="D619" s="100"/>
      <c r="H619" s="42"/>
      <c r="I619" s="22"/>
      <c r="K619" s="43"/>
    </row>
    <row r="620" ht="22.5" customHeight="1">
      <c r="B620" s="19"/>
      <c r="C620" s="19"/>
      <c r="D620" s="100"/>
      <c r="H620" s="42"/>
      <c r="I620" s="22"/>
      <c r="K620" s="43"/>
    </row>
    <row r="621" ht="22.5" customHeight="1">
      <c r="B621" s="19"/>
      <c r="C621" s="19"/>
      <c r="D621" s="100"/>
      <c r="H621" s="42"/>
      <c r="I621" s="22"/>
      <c r="K621" s="43"/>
    </row>
    <row r="622" ht="22.5" customHeight="1">
      <c r="B622" s="19"/>
      <c r="C622" s="19"/>
      <c r="D622" s="100"/>
      <c r="H622" s="42"/>
      <c r="I622" s="22"/>
      <c r="K622" s="43"/>
    </row>
    <row r="623" ht="22.5" customHeight="1">
      <c r="B623" s="19"/>
      <c r="C623" s="19"/>
      <c r="D623" s="100"/>
      <c r="H623" s="42"/>
      <c r="I623" s="22"/>
      <c r="K623" s="43"/>
    </row>
    <row r="624" ht="22.5" customHeight="1">
      <c r="B624" s="19"/>
      <c r="C624" s="19"/>
      <c r="D624" s="100"/>
      <c r="H624" s="42"/>
      <c r="I624" s="22"/>
      <c r="K624" s="43"/>
    </row>
    <row r="625" ht="22.5" customHeight="1">
      <c r="B625" s="19"/>
      <c r="C625" s="19"/>
      <c r="D625" s="100"/>
      <c r="H625" s="42"/>
      <c r="I625" s="22"/>
      <c r="K625" s="43"/>
    </row>
    <row r="626" ht="22.5" customHeight="1">
      <c r="B626" s="19"/>
      <c r="C626" s="19"/>
      <c r="D626" s="100"/>
      <c r="H626" s="42"/>
      <c r="I626" s="22"/>
      <c r="K626" s="43"/>
    </row>
    <row r="627" ht="22.5" customHeight="1">
      <c r="B627" s="19"/>
      <c r="C627" s="19"/>
      <c r="D627" s="100"/>
      <c r="H627" s="42"/>
      <c r="I627" s="22"/>
      <c r="K627" s="43"/>
    </row>
    <row r="628" ht="22.5" customHeight="1">
      <c r="B628" s="19"/>
      <c r="C628" s="19"/>
      <c r="D628" s="100"/>
      <c r="H628" s="42"/>
      <c r="I628" s="22"/>
      <c r="K628" s="43"/>
    </row>
    <row r="629" ht="22.5" customHeight="1">
      <c r="B629" s="19"/>
      <c r="C629" s="19"/>
      <c r="D629" s="100"/>
      <c r="H629" s="42"/>
      <c r="I629" s="22"/>
      <c r="K629" s="43"/>
    </row>
    <row r="630" ht="22.5" customHeight="1">
      <c r="B630" s="19"/>
      <c r="C630" s="19"/>
      <c r="D630" s="100"/>
      <c r="H630" s="42"/>
      <c r="I630" s="22"/>
      <c r="K630" s="43"/>
    </row>
    <row r="631" ht="22.5" customHeight="1">
      <c r="B631" s="19"/>
      <c r="C631" s="19"/>
      <c r="D631" s="100"/>
      <c r="H631" s="42"/>
      <c r="I631" s="22"/>
      <c r="K631" s="43"/>
    </row>
    <row r="632" ht="22.5" customHeight="1">
      <c r="B632" s="19"/>
      <c r="C632" s="19"/>
      <c r="D632" s="100"/>
      <c r="H632" s="42"/>
      <c r="I632" s="22"/>
      <c r="K632" s="43"/>
    </row>
    <row r="633" ht="22.5" customHeight="1">
      <c r="B633" s="19"/>
      <c r="C633" s="19"/>
      <c r="D633" s="100"/>
      <c r="H633" s="42"/>
      <c r="I633" s="22"/>
      <c r="K633" s="43"/>
    </row>
    <row r="634" ht="22.5" customHeight="1">
      <c r="B634" s="19"/>
      <c r="C634" s="19"/>
      <c r="D634" s="100"/>
      <c r="H634" s="42"/>
      <c r="I634" s="22"/>
      <c r="K634" s="43"/>
    </row>
    <row r="635" ht="22.5" customHeight="1">
      <c r="B635" s="19"/>
      <c r="C635" s="19"/>
      <c r="D635" s="100"/>
      <c r="H635" s="42"/>
      <c r="I635" s="22"/>
      <c r="K635" s="43"/>
    </row>
    <row r="636" ht="22.5" customHeight="1">
      <c r="B636" s="19"/>
      <c r="C636" s="19"/>
      <c r="D636" s="100"/>
      <c r="H636" s="42"/>
      <c r="I636" s="22"/>
      <c r="K636" s="43"/>
    </row>
    <row r="637" ht="22.5" customHeight="1">
      <c r="B637" s="19"/>
      <c r="C637" s="19"/>
      <c r="D637" s="100"/>
      <c r="H637" s="42"/>
      <c r="I637" s="22"/>
      <c r="K637" s="43"/>
    </row>
    <row r="638" ht="22.5" customHeight="1">
      <c r="B638" s="19"/>
      <c r="C638" s="19"/>
      <c r="D638" s="100"/>
      <c r="H638" s="42"/>
      <c r="I638" s="22"/>
      <c r="K638" s="43"/>
    </row>
    <row r="639" ht="22.5" customHeight="1">
      <c r="B639" s="19"/>
      <c r="C639" s="19"/>
      <c r="D639" s="100"/>
      <c r="H639" s="42"/>
      <c r="I639" s="22"/>
      <c r="K639" s="43"/>
    </row>
    <row r="640" ht="22.5" customHeight="1">
      <c r="B640" s="19"/>
      <c r="C640" s="19"/>
      <c r="D640" s="100"/>
      <c r="H640" s="42"/>
      <c r="I640" s="22"/>
      <c r="K640" s="43"/>
    </row>
    <row r="641" ht="22.5" customHeight="1">
      <c r="B641" s="19"/>
      <c r="C641" s="19"/>
      <c r="D641" s="100"/>
      <c r="H641" s="42"/>
      <c r="I641" s="22"/>
      <c r="K641" s="43"/>
    </row>
    <row r="642" ht="22.5" customHeight="1">
      <c r="B642" s="19"/>
      <c r="C642" s="19"/>
      <c r="D642" s="100"/>
      <c r="H642" s="42"/>
      <c r="I642" s="22"/>
      <c r="K642" s="43"/>
    </row>
    <row r="643" ht="22.5" customHeight="1">
      <c r="B643" s="19"/>
      <c r="C643" s="19"/>
      <c r="D643" s="100"/>
      <c r="H643" s="42"/>
      <c r="I643" s="22"/>
      <c r="K643" s="43"/>
    </row>
    <row r="644" ht="22.5" customHeight="1">
      <c r="B644" s="19"/>
      <c r="C644" s="19"/>
      <c r="D644" s="100"/>
      <c r="H644" s="42"/>
      <c r="I644" s="22"/>
      <c r="K644" s="43"/>
    </row>
    <row r="645" ht="22.5" customHeight="1">
      <c r="B645" s="19"/>
      <c r="C645" s="19"/>
      <c r="D645" s="100"/>
      <c r="H645" s="42"/>
      <c r="I645" s="22"/>
      <c r="K645" s="43"/>
    </row>
    <row r="646" ht="22.5" customHeight="1">
      <c r="B646" s="19"/>
      <c r="C646" s="19"/>
      <c r="D646" s="100"/>
      <c r="H646" s="42"/>
      <c r="I646" s="22"/>
      <c r="K646" s="43"/>
    </row>
    <row r="647" ht="22.5" customHeight="1">
      <c r="B647" s="19"/>
      <c r="C647" s="19"/>
      <c r="D647" s="100"/>
      <c r="H647" s="42"/>
      <c r="I647" s="22"/>
      <c r="K647" s="43"/>
    </row>
    <row r="648" ht="22.5" customHeight="1">
      <c r="B648" s="19"/>
      <c r="C648" s="19"/>
      <c r="D648" s="100"/>
      <c r="H648" s="42"/>
      <c r="I648" s="22"/>
      <c r="K648" s="43"/>
    </row>
    <row r="649" ht="22.5" customHeight="1">
      <c r="B649" s="19"/>
      <c r="C649" s="19"/>
      <c r="D649" s="100"/>
      <c r="H649" s="42"/>
      <c r="I649" s="22"/>
      <c r="K649" s="43"/>
    </row>
    <row r="650" ht="22.5" customHeight="1">
      <c r="B650" s="19"/>
      <c r="C650" s="19"/>
      <c r="D650" s="100"/>
      <c r="H650" s="42"/>
      <c r="I650" s="22"/>
      <c r="K650" s="43"/>
    </row>
    <row r="651" ht="22.5" customHeight="1">
      <c r="B651" s="19"/>
      <c r="C651" s="19"/>
      <c r="D651" s="100"/>
      <c r="H651" s="42"/>
      <c r="I651" s="22"/>
      <c r="K651" s="43"/>
    </row>
    <row r="652" ht="22.5" customHeight="1">
      <c r="B652" s="19"/>
      <c r="C652" s="19"/>
      <c r="D652" s="100"/>
      <c r="H652" s="42"/>
      <c r="I652" s="22"/>
      <c r="K652" s="43"/>
    </row>
    <row r="653" ht="22.5" customHeight="1">
      <c r="B653" s="19"/>
      <c r="C653" s="19"/>
      <c r="D653" s="100"/>
      <c r="H653" s="42"/>
      <c r="I653" s="22"/>
      <c r="K653" s="43"/>
    </row>
    <row r="654" ht="22.5" customHeight="1">
      <c r="B654" s="19"/>
      <c r="C654" s="19"/>
      <c r="D654" s="100"/>
      <c r="H654" s="42"/>
      <c r="I654" s="22"/>
      <c r="K654" s="43"/>
    </row>
    <row r="655" ht="22.5" customHeight="1">
      <c r="B655" s="19"/>
      <c r="C655" s="19"/>
      <c r="D655" s="100"/>
      <c r="H655" s="42"/>
      <c r="I655" s="22"/>
      <c r="K655" s="43"/>
    </row>
    <row r="656" ht="22.5" customHeight="1">
      <c r="B656" s="19"/>
      <c r="C656" s="19"/>
      <c r="D656" s="100"/>
      <c r="H656" s="42"/>
      <c r="I656" s="22"/>
      <c r="K656" s="43"/>
    </row>
    <row r="657" ht="22.5" customHeight="1">
      <c r="B657" s="19"/>
      <c r="C657" s="19"/>
      <c r="D657" s="100"/>
      <c r="H657" s="42"/>
      <c r="I657" s="22"/>
      <c r="K657" s="43"/>
    </row>
    <row r="658" ht="22.5" customHeight="1">
      <c r="B658" s="19"/>
      <c r="C658" s="19"/>
      <c r="D658" s="100"/>
      <c r="H658" s="42"/>
      <c r="I658" s="22"/>
      <c r="K658" s="43"/>
    </row>
    <row r="659" ht="22.5" customHeight="1">
      <c r="B659" s="19"/>
      <c r="C659" s="19"/>
      <c r="D659" s="100"/>
      <c r="H659" s="42"/>
      <c r="I659" s="22"/>
      <c r="K659" s="43"/>
    </row>
    <row r="660" ht="22.5" customHeight="1">
      <c r="B660" s="19"/>
      <c r="C660" s="19"/>
      <c r="D660" s="100"/>
      <c r="H660" s="42"/>
      <c r="I660" s="22"/>
      <c r="K660" s="43"/>
    </row>
    <row r="661" ht="22.5" customHeight="1">
      <c r="B661" s="19"/>
      <c r="C661" s="19"/>
      <c r="D661" s="100"/>
      <c r="H661" s="42"/>
      <c r="I661" s="22"/>
      <c r="K661" s="43"/>
    </row>
    <row r="662" ht="22.5" customHeight="1">
      <c r="B662" s="19"/>
      <c r="C662" s="19"/>
      <c r="D662" s="100"/>
      <c r="H662" s="42"/>
      <c r="I662" s="22"/>
      <c r="K662" s="43"/>
    </row>
    <row r="663" ht="22.5" customHeight="1">
      <c r="B663" s="19"/>
      <c r="C663" s="19"/>
      <c r="D663" s="100"/>
      <c r="H663" s="42"/>
      <c r="I663" s="22"/>
      <c r="K663" s="43"/>
    </row>
    <row r="664" ht="22.5" customHeight="1">
      <c r="B664" s="19"/>
      <c r="C664" s="19"/>
      <c r="D664" s="100"/>
      <c r="H664" s="42"/>
      <c r="I664" s="22"/>
      <c r="K664" s="43"/>
    </row>
    <row r="665" ht="22.5" customHeight="1">
      <c r="B665" s="19"/>
      <c r="C665" s="19"/>
      <c r="D665" s="100"/>
      <c r="H665" s="42"/>
      <c r="I665" s="22"/>
      <c r="K665" s="43"/>
    </row>
    <row r="666" ht="22.5" customHeight="1">
      <c r="B666" s="19"/>
      <c r="C666" s="19"/>
      <c r="D666" s="100"/>
      <c r="H666" s="42"/>
      <c r="I666" s="22"/>
      <c r="K666" s="43"/>
    </row>
    <row r="667" ht="22.5" customHeight="1">
      <c r="B667" s="19"/>
      <c r="C667" s="19"/>
      <c r="D667" s="100"/>
      <c r="H667" s="42"/>
      <c r="I667" s="22"/>
      <c r="K667" s="43"/>
    </row>
    <row r="668" ht="22.5" customHeight="1">
      <c r="B668" s="19"/>
      <c r="C668" s="19"/>
      <c r="D668" s="100"/>
      <c r="H668" s="42"/>
      <c r="I668" s="22"/>
      <c r="K668" s="43"/>
    </row>
    <row r="669" ht="22.5" customHeight="1">
      <c r="B669" s="19"/>
      <c r="C669" s="19"/>
      <c r="D669" s="100"/>
      <c r="H669" s="42"/>
      <c r="I669" s="22"/>
      <c r="K669" s="43"/>
    </row>
    <row r="670" ht="22.5" customHeight="1">
      <c r="B670" s="19"/>
      <c r="C670" s="19"/>
      <c r="D670" s="100"/>
      <c r="H670" s="42"/>
      <c r="I670" s="22"/>
      <c r="K670" s="43"/>
    </row>
    <row r="671" ht="22.5" customHeight="1">
      <c r="B671" s="19"/>
      <c r="C671" s="19"/>
      <c r="D671" s="100"/>
      <c r="H671" s="42"/>
      <c r="I671" s="22"/>
      <c r="K671" s="43"/>
    </row>
    <row r="672" ht="22.5" customHeight="1">
      <c r="B672" s="19"/>
      <c r="C672" s="19"/>
      <c r="D672" s="100"/>
      <c r="H672" s="42"/>
      <c r="I672" s="22"/>
      <c r="K672" s="43"/>
    </row>
    <row r="673" ht="22.5" customHeight="1">
      <c r="B673" s="19"/>
      <c r="C673" s="19"/>
      <c r="D673" s="100"/>
      <c r="H673" s="42"/>
      <c r="I673" s="22"/>
      <c r="K673" s="43"/>
    </row>
    <row r="674" ht="22.5" customHeight="1">
      <c r="B674" s="19"/>
      <c r="C674" s="19"/>
      <c r="D674" s="100"/>
      <c r="H674" s="42"/>
      <c r="I674" s="22"/>
      <c r="K674" s="43"/>
    </row>
    <row r="675" ht="22.5" customHeight="1">
      <c r="B675" s="19"/>
      <c r="C675" s="19"/>
      <c r="D675" s="100"/>
      <c r="H675" s="42"/>
      <c r="I675" s="22"/>
      <c r="K675" s="43"/>
    </row>
    <row r="676" ht="22.5" customHeight="1">
      <c r="B676" s="19"/>
      <c r="C676" s="19"/>
      <c r="D676" s="100"/>
      <c r="H676" s="42"/>
      <c r="I676" s="22"/>
      <c r="K676" s="43"/>
    </row>
    <row r="677" ht="22.5" customHeight="1">
      <c r="B677" s="19"/>
      <c r="C677" s="19"/>
      <c r="D677" s="100"/>
      <c r="H677" s="42"/>
      <c r="I677" s="22"/>
      <c r="K677" s="43"/>
    </row>
    <row r="678" ht="22.5" customHeight="1">
      <c r="B678" s="19"/>
      <c r="C678" s="19"/>
      <c r="D678" s="100"/>
      <c r="H678" s="42"/>
      <c r="I678" s="22"/>
      <c r="K678" s="43"/>
    </row>
    <row r="679" ht="22.5" customHeight="1">
      <c r="B679" s="19"/>
      <c r="C679" s="19"/>
      <c r="D679" s="100"/>
      <c r="H679" s="42"/>
      <c r="I679" s="22"/>
      <c r="K679" s="43"/>
    </row>
    <row r="680" ht="22.5" customHeight="1">
      <c r="B680" s="19"/>
      <c r="C680" s="19"/>
      <c r="D680" s="100"/>
      <c r="H680" s="42"/>
      <c r="I680" s="22"/>
      <c r="K680" s="43"/>
    </row>
    <row r="681" ht="22.5" customHeight="1">
      <c r="B681" s="19"/>
      <c r="C681" s="19"/>
      <c r="D681" s="100"/>
      <c r="H681" s="42"/>
      <c r="I681" s="22"/>
      <c r="K681" s="43"/>
    </row>
    <row r="682" ht="22.5" customHeight="1">
      <c r="B682" s="19"/>
      <c r="C682" s="19"/>
      <c r="D682" s="100"/>
      <c r="H682" s="42"/>
      <c r="I682" s="22"/>
      <c r="K682" s="43"/>
    </row>
    <row r="683" ht="22.5" customHeight="1">
      <c r="B683" s="19"/>
      <c r="C683" s="19"/>
      <c r="D683" s="100"/>
      <c r="H683" s="42"/>
      <c r="I683" s="22"/>
      <c r="K683" s="43"/>
    </row>
    <row r="684" ht="22.5" customHeight="1">
      <c r="B684" s="19"/>
      <c r="C684" s="19"/>
      <c r="D684" s="100"/>
      <c r="H684" s="42"/>
      <c r="I684" s="22"/>
      <c r="K684" s="43"/>
    </row>
    <row r="685" ht="22.5" customHeight="1">
      <c r="B685" s="19"/>
      <c r="C685" s="19"/>
      <c r="D685" s="100"/>
      <c r="H685" s="42"/>
      <c r="I685" s="22"/>
      <c r="K685" s="43"/>
    </row>
    <row r="686" ht="22.5" customHeight="1">
      <c r="B686" s="19"/>
      <c r="C686" s="19"/>
      <c r="D686" s="100"/>
      <c r="H686" s="42"/>
      <c r="I686" s="22"/>
      <c r="K686" s="43"/>
    </row>
    <row r="687" ht="22.5" customHeight="1">
      <c r="B687" s="19"/>
      <c r="C687" s="19"/>
      <c r="D687" s="100"/>
      <c r="H687" s="42"/>
      <c r="I687" s="22"/>
      <c r="K687" s="43"/>
    </row>
    <row r="688" ht="22.5" customHeight="1">
      <c r="B688" s="19"/>
      <c r="C688" s="19"/>
      <c r="D688" s="100"/>
      <c r="H688" s="42"/>
      <c r="I688" s="22"/>
      <c r="K688" s="43"/>
    </row>
    <row r="689" ht="22.5" customHeight="1">
      <c r="B689" s="19"/>
      <c r="C689" s="19"/>
      <c r="D689" s="100"/>
      <c r="H689" s="42"/>
      <c r="I689" s="22"/>
      <c r="K689" s="43"/>
    </row>
    <row r="690" ht="22.5" customHeight="1">
      <c r="B690" s="19"/>
      <c r="C690" s="19"/>
      <c r="D690" s="100"/>
      <c r="H690" s="42"/>
      <c r="I690" s="22"/>
      <c r="K690" s="43"/>
    </row>
    <row r="691" ht="22.5" customHeight="1">
      <c r="B691" s="19"/>
      <c r="C691" s="19"/>
      <c r="D691" s="100"/>
      <c r="H691" s="42"/>
      <c r="I691" s="22"/>
      <c r="K691" s="43"/>
    </row>
    <row r="692" ht="22.5" customHeight="1">
      <c r="B692" s="19"/>
      <c r="C692" s="19"/>
      <c r="D692" s="100"/>
      <c r="H692" s="42"/>
      <c r="I692" s="22"/>
      <c r="K692" s="43"/>
    </row>
    <row r="693" ht="22.5" customHeight="1">
      <c r="B693" s="19"/>
      <c r="C693" s="19"/>
      <c r="D693" s="100"/>
      <c r="H693" s="42"/>
      <c r="I693" s="22"/>
      <c r="K693" s="43"/>
    </row>
    <row r="694" ht="22.5" customHeight="1">
      <c r="B694" s="19"/>
      <c r="C694" s="19"/>
      <c r="D694" s="100"/>
      <c r="H694" s="42"/>
      <c r="I694" s="22"/>
      <c r="K694" s="43"/>
    </row>
    <row r="695" ht="22.5" customHeight="1">
      <c r="B695" s="19"/>
      <c r="C695" s="19"/>
      <c r="D695" s="100"/>
      <c r="H695" s="42"/>
      <c r="I695" s="22"/>
      <c r="K695" s="43"/>
    </row>
    <row r="696" ht="22.5" customHeight="1">
      <c r="B696" s="19"/>
      <c r="C696" s="19"/>
      <c r="D696" s="100"/>
      <c r="H696" s="42"/>
      <c r="I696" s="22"/>
      <c r="K696" s="43"/>
    </row>
    <row r="697" ht="22.5" customHeight="1">
      <c r="B697" s="19"/>
      <c r="C697" s="19"/>
      <c r="D697" s="100"/>
      <c r="H697" s="42"/>
      <c r="I697" s="22"/>
      <c r="K697" s="43"/>
    </row>
    <row r="698" ht="22.5" customHeight="1">
      <c r="B698" s="19"/>
      <c r="C698" s="19"/>
      <c r="D698" s="100"/>
      <c r="H698" s="42"/>
      <c r="I698" s="22"/>
      <c r="K698" s="43"/>
    </row>
    <row r="699" ht="22.5" customHeight="1">
      <c r="B699" s="19"/>
      <c r="C699" s="19"/>
      <c r="D699" s="100"/>
      <c r="H699" s="42"/>
      <c r="I699" s="22"/>
      <c r="K699" s="43"/>
    </row>
    <row r="700" ht="22.5" customHeight="1">
      <c r="B700" s="19"/>
      <c r="C700" s="19"/>
      <c r="D700" s="100"/>
      <c r="H700" s="42"/>
      <c r="I700" s="22"/>
      <c r="K700" s="43"/>
    </row>
    <row r="701" ht="22.5" customHeight="1">
      <c r="B701" s="19"/>
      <c r="C701" s="19"/>
      <c r="D701" s="100"/>
      <c r="H701" s="42"/>
      <c r="I701" s="22"/>
      <c r="K701" s="43"/>
    </row>
    <row r="702" ht="22.5" customHeight="1">
      <c r="B702" s="19"/>
      <c r="C702" s="19"/>
      <c r="D702" s="100"/>
      <c r="H702" s="42"/>
      <c r="I702" s="22"/>
      <c r="K702" s="43"/>
    </row>
    <row r="703" ht="22.5" customHeight="1">
      <c r="B703" s="19"/>
      <c r="C703" s="19"/>
      <c r="D703" s="100"/>
      <c r="H703" s="42"/>
      <c r="I703" s="22"/>
      <c r="K703" s="43"/>
    </row>
    <row r="704" ht="22.5" customHeight="1">
      <c r="B704" s="19"/>
      <c r="C704" s="19"/>
      <c r="D704" s="100"/>
      <c r="H704" s="42"/>
      <c r="I704" s="22"/>
      <c r="K704" s="43"/>
    </row>
    <row r="705" ht="22.5" customHeight="1">
      <c r="B705" s="19"/>
      <c r="C705" s="19"/>
      <c r="D705" s="100"/>
      <c r="H705" s="42"/>
      <c r="I705" s="22"/>
      <c r="K705" s="43"/>
    </row>
    <row r="706" ht="22.5" customHeight="1">
      <c r="B706" s="19"/>
      <c r="C706" s="19"/>
      <c r="D706" s="100"/>
      <c r="H706" s="42"/>
      <c r="I706" s="22"/>
      <c r="K706" s="43"/>
    </row>
    <row r="707" ht="22.5" customHeight="1">
      <c r="B707" s="19"/>
      <c r="C707" s="19"/>
      <c r="D707" s="100"/>
      <c r="H707" s="42"/>
      <c r="I707" s="22"/>
      <c r="K707" s="43"/>
    </row>
    <row r="708" ht="22.5" customHeight="1">
      <c r="B708" s="19"/>
      <c r="C708" s="19"/>
      <c r="D708" s="100"/>
      <c r="H708" s="42"/>
      <c r="I708" s="22"/>
      <c r="K708" s="43"/>
    </row>
    <row r="709" ht="22.5" customHeight="1">
      <c r="B709" s="19"/>
      <c r="C709" s="19"/>
      <c r="D709" s="100"/>
      <c r="H709" s="42"/>
      <c r="I709" s="22"/>
      <c r="K709" s="43"/>
    </row>
    <row r="710" ht="22.5" customHeight="1">
      <c r="B710" s="19"/>
      <c r="C710" s="19"/>
      <c r="D710" s="100"/>
      <c r="H710" s="42"/>
      <c r="I710" s="22"/>
      <c r="K710" s="43"/>
    </row>
    <row r="711" ht="22.5" customHeight="1">
      <c r="B711" s="19"/>
      <c r="C711" s="19"/>
      <c r="D711" s="100"/>
      <c r="H711" s="42"/>
      <c r="I711" s="22"/>
      <c r="K711" s="43"/>
    </row>
    <row r="712" ht="22.5" customHeight="1">
      <c r="B712" s="19"/>
      <c r="C712" s="19"/>
      <c r="D712" s="100"/>
      <c r="H712" s="42"/>
      <c r="I712" s="22"/>
      <c r="K712" s="43"/>
    </row>
    <row r="713" ht="22.5" customHeight="1">
      <c r="B713" s="19"/>
      <c r="C713" s="19"/>
      <c r="D713" s="100"/>
      <c r="H713" s="42"/>
      <c r="I713" s="22"/>
      <c r="K713" s="43"/>
    </row>
    <row r="714" ht="22.5" customHeight="1">
      <c r="B714" s="19"/>
      <c r="C714" s="19"/>
      <c r="D714" s="100"/>
      <c r="H714" s="42"/>
      <c r="I714" s="22"/>
      <c r="K714" s="43"/>
    </row>
    <row r="715" ht="22.5" customHeight="1">
      <c r="B715" s="19"/>
      <c r="C715" s="19"/>
      <c r="D715" s="100"/>
      <c r="H715" s="42"/>
      <c r="I715" s="22"/>
      <c r="K715" s="43"/>
    </row>
    <row r="716" ht="22.5" customHeight="1">
      <c r="B716" s="19"/>
      <c r="C716" s="19"/>
      <c r="D716" s="100"/>
      <c r="H716" s="42"/>
      <c r="I716" s="22"/>
      <c r="K716" s="43"/>
    </row>
    <row r="717" ht="22.5" customHeight="1">
      <c r="B717" s="19"/>
      <c r="C717" s="19"/>
      <c r="D717" s="100"/>
      <c r="H717" s="42"/>
      <c r="I717" s="22"/>
      <c r="K717" s="43"/>
    </row>
    <row r="718" ht="22.5" customHeight="1">
      <c r="B718" s="19"/>
      <c r="C718" s="19"/>
      <c r="D718" s="100"/>
      <c r="H718" s="42"/>
      <c r="I718" s="22"/>
      <c r="K718" s="43"/>
    </row>
    <row r="719" ht="22.5" customHeight="1">
      <c r="B719" s="19"/>
      <c r="C719" s="19"/>
      <c r="D719" s="100"/>
      <c r="H719" s="42"/>
      <c r="I719" s="22"/>
      <c r="K719" s="43"/>
    </row>
    <row r="720" ht="22.5" customHeight="1">
      <c r="B720" s="19"/>
      <c r="C720" s="19"/>
      <c r="D720" s="100"/>
      <c r="H720" s="42"/>
      <c r="I720" s="22"/>
      <c r="K720" s="43"/>
    </row>
    <row r="721" ht="22.5" customHeight="1">
      <c r="B721" s="19"/>
      <c r="C721" s="19"/>
      <c r="D721" s="100"/>
      <c r="H721" s="42"/>
      <c r="I721" s="22"/>
      <c r="K721" s="43"/>
    </row>
    <row r="722" ht="22.5" customHeight="1">
      <c r="B722" s="19"/>
      <c r="C722" s="19"/>
      <c r="D722" s="100"/>
      <c r="H722" s="42"/>
      <c r="I722" s="22"/>
      <c r="K722" s="43"/>
    </row>
    <row r="723" ht="22.5" customHeight="1">
      <c r="B723" s="19"/>
      <c r="C723" s="19"/>
      <c r="D723" s="100"/>
      <c r="H723" s="42"/>
      <c r="I723" s="22"/>
      <c r="K723" s="43"/>
    </row>
    <row r="724" ht="22.5" customHeight="1">
      <c r="B724" s="19"/>
      <c r="C724" s="19"/>
      <c r="D724" s="100"/>
      <c r="H724" s="42"/>
      <c r="I724" s="22"/>
      <c r="K724" s="43"/>
    </row>
    <row r="725" ht="22.5" customHeight="1">
      <c r="B725" s="19"/>
      <c r="C725" s="19"/>
      <c r="D725" s="100"/>
      <c r="H725" s="42"/>
      <c r="I725" s="22"/>
      <c r="K725" s="43"/>
    </row>
    <row r="726" ht="22.5" customHeight="1">
      <c r="B726" s="19"/>
      <c r="C726" s="19"/>
      <c r="D726" s="100"/>
      <c r="H726" s="42"/>
      <c r="I726" s="22"/>
      <c r="K726" s="43"/>
    </row>
    <row r="727" ht="22.5" customHeight="1">
      <c r="B727" s="19"/>
      <c r="C727" s="19"/>
      <c r="D727" s="100"/>
      <c r="H727" s="42"/>
      <c r="I727" s="22"/>
      <c r="K727" s="43"/>
    </row>
    <row r="728" ht="22.5" customHeight="1">
      <c r="B728" s="19"/>
      <c r="C728" s="19"/>
      <c r="D728" s="100"/>
      <c r="H728" s="42"/>
      <c r="I728" s="22"/>
      <c r="K728" s="43"/>
    </row>
    <row r="729" ht="22.5" customHeight="1">
      <c r="B729" s="19"/>
      <c r="C729" s="19"/>
      <c r="D729" s="100"/>
      <c r="H729" s="42"/>
      <c r="I729" s="22"/>
      <c r="K729" s="43"/>
    </row>
    <row r="730" ht="22.5" customHeight="1">
      <c r="B730" s="19"/>
      <c r="C730" s="19"/>
      <c r="D730" s="100"/>
      <c r="H730" s="42"/>
      <c r="I730" s="22"/>
      <c r="K730" s="43"/>
    </row>
    <row r="731" ht="22.5" customHeight="1">
      <c r="B731" s="19"/>
      <c r="C731" s="19"/>
      <c r="D731" s="100"/>
      <c r="H731" s="42"/>
      <c r="I731" s="22"/>
      <c r="K731" s="43"/>
    </row>
    <row r="732" ht="22.5" customHeight="1">
      <c r="B732" s="19"/>
      <c r="C732" s="19"/>
      <c r="D732" s="100"/>
      <c r="H732" s="42"/>
      <c r="I732" s="22"/>
      <c r="K732" s="43"/>
    </row>
    <row r="733" ht="22.5" customHeight="1">
      <c r="B733" s="19"/>
      <c r="C733" s="19"/>
      <c r="D733" s="100"/>
      <c r="H733" s="42"/>
      <c r="I733" s="22"/>
      <c r="K733" s="43"/>
    </row>
    <row r="734" ht="22.5" customHeight="1">
      <c r="B734" s="19"/>
      <c r="C734" s="19"/>
      <c r="D734" s="100"/>
      <c r="H734" s="42"/>
      <c r="I734" s="22"/>
      <c r="K734" s="43"/>
    </row>
    <row r="735" ht="22.5" customHeight="1">
      <c r="B735" s="19"/>
      <c r="C735" s="19"/>
      <c r="D735" s="100"/>
      <c r="H735" s="42"/>
      <c r="I735" s="22"/>
      <c r="K735" s="43"/>
    </row>
    <row r="736" ht="22.5" customHeight="1">
      <c r="B736" s="19"/>
      <c r="C736" s="19"/>
      <c r="D736" s="100"/>
      <c r="H736" s="42"/>
      <c r="I736" s="22"/>
      <c r="K736" s="43"/>
    </row>
    <row r="737" ht="22.5" customHeight="1">
      <c r="B737" s="19"/>
      <c r="C737" s="19"/>
      <c r="D737" s="100"/>
      <c r="H737" s="42"/>
      <c r="I737" s="22"/>
      <c r="K737" s="43"/>
    </row>
    <row r="738" ht="22.5" customHeight="1">
      <c r="B738" s="19"/>
      <c r="C738" s="19"/>
      <c r="D738" s="100"/>
      <c r="H738" s="42"/>
      <c r="I738" s="22"/>
      <c r="K738" s="43"/>
    </row>
    <row r="739" ht="22.5" customHeight="1">
      <c r="B739" s="19"/>
      <c r="C739" s="19"/>
      <c r="D739" s="100"/>
      <c r="H739" s="42"/>
      <c r="I739" s="22"/>
      <c r="K739" s="43"/>
    </row>
    <row r="740" ht="22.5" customHeight="1">
      <c r="B740" s="19"/>
      <c r="C740" s="19"/>
      <c r="D740" s="100"/>
      <c r="H740" s="42"/>
      <c r="I740" s="22"/>
      <c r="K740" s="43"/>
    </row>
    <row r="741" ht="22.5" customHeight="1">
      <c r="B741" s="19"/>
      <c r="C741" s="19"/>
      <c r="D741" s="100"/>
      <c r="H741" s="42"/>
      <c r="I741" s="22"/>
      <c r="K741" s="43"/>
    </row>
    <row r="742" ht="22.5" customHeight="1">
      <c r="B742" s="19"/>
      <c r="C742" s="19"/>
      <c r="D742" s="100"/>
      <c r="H742" s="42"/>
      <c r="I742" s="22"/>
      <c r="K742" s="43"/>
    </row>
    <row r="743" ht="22.5" customHeight="1">
      <c r="B743" s="19"/>
      <c r="C743" s="19"/>
      <c r="D743" s="100"/>
      <c r="H743" s="42"/>
      <c r="I743" s="22"/>
      <c r="K743" s="43"/>
    </row>
    <row r="744" ht="22.5" customHeight="1">
      <c r="B744" s="19"/>
      <c r="C744" s="19"/>
      <c r="D744" s="100"/>
      <c r="H744" s="42"/>
      <c r="I744" s="22"/>
      <c r="K744" s="43"/>
    </row>
    <row r="745" ht="22.5" customHeight="1">
      <c r="B745" s="19"/>
      <c r="C745" s="19"/>
      <c r="D745" s="100"/>
      <c r="H745" s="42"/>
      <c r="I745" s="22"/>
      <c r="K745" s="43"/>
    </row>
    <row r="746" ht="22.5" customHeight="1">
      <c r="B746" s="19"/>
      <c r="C746" s="19"/>
      <c r="D746" s="100"/>
      <c r="H746" s="42"/>
      <c r="I746" s="22"/>
      <c r="K746" s="43"/>
    </row>
    <row r="747" ht="22.5" customHeight="1">
      <c r="B747" s="19"/>
      <c r="C747" s="19"/>
      <c r="D747" s="100"/>
      <c r="H747" s="42"/>
      <c r="I747" s="22"/>
      <c r="K747" s="43"/>
    </row>
    <row r="748" ht="22.5" customHeight="1">
      <c r="B748" s="19"/>
      <c r="C748" s="19"/>
      <c r="D748" s="100"/>
      <c r="H748" s="42"/>
      <c r="I748" s="22"/>
      <c r="K748" s="43"/>
    </row>
    <row r="749" ht="22.5" customHeight="1">
      <c r="B749" s="19"/>
      <c r="C749" s="19"/>
      <c r="D749" s="100"/>
      <c r="H749" s="42"/>
      <c r="I749" s="22"/>
      <c r="K749" s="43"/>
    </row>
    <row r="750" ht="22.5" customHeight="1">
      <c r="B750" s="19"/>
      <c r="C750" s="19"/>
      <c r="D750" s="100"/>
      <c r="H750" s="42"/>
      <c r="I750" s="22"/>
      <c r="K750" s="43"/>
    </row>
    <row r="751" ht="22.5" customHeight="1">
      <c r="B751" s="19"/>
      <c r="C751" s="19"/>
      <c r="D751" s="100"/>
      <c r="H751" s="42"/>
      <c r="I751" s="22"/>
      <c r="K751" s="43"/>
    </row>
    <row r="752" ht="22.5" customHeight="1">
      <c r="B752" s="19"/>
      <c r="C752" s="19"/>
      <c r="D752" s="100"/>
      <c r="H752" s="42"/>
      <c r="I752" s="22"/>
      <c r="K752" s="43"/>
    </row>
    <row r="753" ht="22.5" customHeight="1">
      <c r="B753" s="19"/>
      <c r="C753" s="19"/>
      <c r="D753" s="100"/>
      <c r="H753" s="42"/>
      <c r="I753" s="22"/>
      <c r="K753" s="43"/>
    </row>
    <row r="754" ht="22.5" customHeight="1">
      <c r="B754" s="19"/>
      <c r="C754" s="19"/>
      <c r="D754" s="100"/>
      <c r="H754" s="42"/>
      <c r="I754" s="22"/>
      <c r="K754" s="43"/>
    </row>
    <row r="755" ht="22.5" customHeight="1">
      <c r="B755" s="19"/>
      <c r="C755" s="19"/>
      <c r="D755" s="100"/>
      <c r="H755" s="42"/>
      <c r="I755" s="22"/>
      <c r="K755" s="43"/>
    </row>
    <row r="756" ht="22.5" customHeight="1">
      <c r="B756" s="19"/>
      <c r="C756" s="19"/>
      <c r="D756" s="100"/>
      <c r="H756" s="42"/>
      <c r="I756" s="22"/>
      <c r="K756" s="43"/>
    </row>
    <row r="757" ht="22.5" customHeight="1">
      <c r="B757" s="19"/>
      <c r="C757" s="19"/>
      <c r="D757" s="100"/>
      <c r="H757" s="42"/>
      <c r="I757" s="22"/>
      <c r="K757" s="43"/>
    </row>
    <row r="758" ht="22.5" customHeight="1">
      <c r="B758" s="19"/>
      <c r="C758" s="19"/>
      <c r="D758" s="100"/>
      <c r="H758" s="42"/>
      <c r="I758" s="22"/>
      <c r="K758" s="43"/>
    </row>
    <row r="759" ht="22.5" customHeight="1">
      <c r="B759" s="19"/>
      <c r="C759" s="19"/>
      <c r="D759" s="100"/>
      <c r="H759" s="42"/>
      <c r="I759" s="22"/>
      <c r="K759" s="43"/>
    </row>
    <row r="760" ht="22.5" customHeight="1">
      <c r="B760" s="19"/>
      <c r="C760" s="19"/>
      <c r="D760" s="100"/>
      <c r="H760" s="42"/>
      <c r="I760" s="22"/>
      <c r="K760" s="43"/>
    </row>
    <row r="761" ht="22.5" customHeight="1">
      <c r="B761" s="19"/>
      <c r="C761" s="19"/>
      <c r="D761" s="100"/>
      <c r="H761" s="42"/>
      <c r="I761" s="22"/>
      <c r="K761" s="43"/>
    </row>
    <row r="762" ht="22.5" customHeight="1">
      <c r="B762" s="19"/>
      <c r="C762" s="19"/>
      <c r="D762" s="100"/>
      <c r="H762" s="42"/>
      <c r="I762" s="22"/>
      <c r="K762" s="43"/>
    </row>
    <row r="763" ht="22.5" customHeight="1">
      <c r="B763" s="19"/>
      <c r="C763" s="19"/>
      <c r="D763" s="100"/>
      <c r="H763" s="42"/>
      <c r="I763" s="22"/>
      <c r="K763" s="43"/>
    </row>
    <row r="764" ht="22.5" customHeight="1">
      <c r="B764" s="19"/>
      <c r="C764" s="19"/>
      <c r="D764" s="100"/>
      <c r="H764" s="42"/>
      <c r="I764" s="22"/>
      <c r="K764" s="43"/>
    </row>
    <row r="765" ht="22.5" customHeight="1">
      <c r="B765" s="19"/>
      <c r="C765" s="19"/>
      <c r="D765" s="100"/>
      <c r="H765" s="42"/>
      <c r="I765" s="22"/>
      <c r="K765" s="43"/>
    </row>
    <row r="766" ht="22.5" customHeight="1">
      <c r="B766" s="19"/>
      <c r="C766" s="19"/>
      <c r="D766" s="100"/>
      <c r="H766" s="42"/>
      <c r="I766" s="22"/>
      <c r="K766" s="43"/>
    </row>
    <row r="767" ht="22.5" customHeight="1">
      <c r="B767" s="19"/>
      <c r="C767" s="19"/>
      <c r="D767" s="100"/>
      <c r="H767" s="42"/>
      <c r="I767" s="22"/>
      <c r="K767" s="43"/>
    </row>
    <row r="768" ht="22.5" customHeight="1">
      <c r="B768" s="19"/>
      <c r="C768" s="19"/>
      <c r="D768" s="100"/>
      <c r="H768" s="42"/>
      <c r="I768" s="22"/>
      <c r="K768" s="43"/>
    </row>
    <row r="769" ht="22.5" customHeight="1">
      <c r="B769" s="19"/>
      <c r="C769" s="19"/>
      <c r="D769" s="100"/>
      <c r="H769" s="42"/>
      <c r="I769" s="22"/>
      <c r="K769" s="43"/>
    </row>
    <row r="770" ht="22.5" customHeight="1">
      <c r="B770" s="19"/>
      <c r="C770" s="19"/>
      <c r="D770" s="100"/>
      <c r="H770" s="42"/>
      <c r="I770" s="22"/>
      <c r="K770" s="43"/>
    </row>
    <row r="771" ht="22.5" customHeight="1">
      <c r="B771" s="19"/>
      <c r="C771" s="19"/>
      <c r="D771" s="100"/>
      <c r="H771" s="42"/>
      <c r="I771" s="22"/>
      <c r="K771" s="43"/>
    </row>
    <row r="772" ht="22.5" customHeight="1">
      <c r="B772" s="19"/>
      <c r="C772" s="19"/>
      <c r="D772" s="100"/>
      <c r="H772" s="42"/>
      <c r="I772" s="22"/>
      <c r="K772" s="43"/>
    </row>
    <row r="773" ht="22.5" customHeight="1">
      <c r="B773" s="19"/>
      <c r="C773" s="19"/>
      <c r="D773" s="100"/>
      <c r="H773" s="42"/>
      <c r="I773" s="22"/>
      <c r="K773" s="43"/>
    </row>
    <row r="774" ht="22.5" customHeight="1">
      <c r="B774" s="19"/>
      <c r="C774" s="19"/>
      <c r="D774" s="100"/>
      <c r="H774" s="42"/>
      <c r="I774" s="22"/>
      <c r="K774" s="43"/>
    </row>
    <row r="775" ht="22.5" customHeight="1">
      <c r="B775" s="19"/>
      <c r="C775" s="19"/>
      <c r="D775" s="100"/>
      <c r="H775" s="42"/>
      <c r="I775" s="22"/>
      <c r="K775" s="43"/>
    </row>
    <row r="776" ht="22.5" customHeight="1">
      <c r="B776" s="19"/>
      <c r="C776" s="19"/>
      <c r="D776" s="100"/>
      <c r="H776" s="42"/>
      <c r="I776" s="22"/>
      <c r="K776" s="43"/>
    </row>
    <row r="777" ht="22.5" customHeight="1">
      <c r="B777" s="19"/>
      <c r="C777" s="19"/>
      <c r="D777" s="100"/>
      <c r="H777" s="42"/>
      <c r="I777" s="22"/>
      <c r="K777" s="43"/>
    </row>
    <row r="778" ht="22.5" customHeight="1">
      <c r="B778" s="19"/>
      <c r="C778" s="19"/>
      <c r="D778" s="100"/>
      <c r="H778" s="42"/>
      <c r="I778" s="22"/>
      <c r="K778" s="43"/>
    </row>
    <row r="779" ht="22.5" customHeight="1">
      <c r="B779" s="19"/>
      <c r="C779" s="19"/>
      <c r="D779" s="100"/>
      <c r="H779" s="42"/>
      <c r="I779" s="22"/>
      <c r="K779" s="43"/>
    </row>
    <row r="780" ht="22.5" customHeight="1">
      <c r="B780" s="19"/>
      <c r="C780" s="19"/>
      <c r="D780" s="100"/>
      <c r="H780" s="42"/>
      <c r="I780" s="22"/>
      <c r="K780" s="43"/>
    </row>
    <row r="781" ht="22.5" customHeight="1">
      <c r="B781" s="19"/>
      <c r="C781" s="19"/>
      <c r="D781" s="100"/>
      <c r="H781" s="42"/>
      <c r="I781" s="22"/>
      <c r="K781" s="43"/>
    </row>
    <row r="782" ht="22.5" customHeight="1">
      <c r="B782" s="19"/>
      <c r="C782" s="19"/>
      <c r="D782" s="100"/>
      <c r="H782" s="42"/>
      <c r="I782" s="22"/>
      <c r="K782" s="43"/>
    </row>
    <row r="783" ht="22.5" customHeight="1">
      <c r="B783" s="19"/>
      <c r="C783" s="19"/>
      <c r="D783" s="100"/>
      <c r="H783" s="42"/>
      <c r="I783" s="22"/>
      <c r="K783" s="43"/>
    </row>
    <row r="784" ht="22.5" customHeight="1">
      <c r="B784" s="19"/>
      <c r="C784" s="19"/>
      <c r="D784" s="100"/>
      <c r="H784" s="42"/>
      <c r="I784" s="22"/>
      <c r="K784" s="43"/>
    </row>
    <row r="785" ht="22.5" customHeight="1">
      <c r="B785" s="19"/>
      <c r="C785" s="19"/>
      <c r="D785" s="100"/>
      <c r="H785" s="42"/>
      <c r="I785" s="22"/>
      <c r="K785" s="43"/>
    </row>
  </sheetData>
  <dataValidations>
    <dataValidation type="list" allowBlank="1" showInputMessage="1" prompt="Cliquez ici et saisissez une valeur dans la liste des éléments" sqref="I2:I785">
      <formula1>"Abritel,Airbnb,Chèque,Espèces,HomeExchange,Virement,A définir,Gites de France"</formula1>
    </dataValidation>
    <dataValidation type="custom" allowBlank="1" showDropDown="1" sqref="B2:C785">
      <formula1>OR(NOT(ISERROR(DATEVALUE(B2))), AND(ISNUMBER(B2), LEFT(CELL("format", B2))="D"))</formula1>
    </dataValidation>
    <dataValidation type="custom" allowBlank="1" showDropDown="1" sqref="H2:H785">
      <formula1>AND(ISNUMBER(H2),(NOT(OR(NOT(ISERROR(DATEVALUE(H2))), AND(ISNUMBER(H2), LEFT(CELL("format", H2))="D")))))</formula1>
    </dataValidation>
    <dataValidation allowBlank="1" showDropDown="1" sqref="K2:K785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">
        <v>378</v>
      </c>
      <c r="B1" s="113" t="s">
        <v>0</v>
      </c>
      <c r="C1" s="113" t="s">
        <v>379</v>
      </c>
      <c r="D1" s="113"/>
      <c r="E1" s="114" t="s">
        <v>380</v>
      </c>
    </row>
    <row r="2">
      <c r="A2" s="115">
        <v>1.0</v>
      </c>
      <c r="B2" s="116"/>
      <c r="C2" s="117">
        <v>0.0</v>
      </c>
      <c r="D2" s="116"/>
      <c r="E2" s="118"/>
    </row>
    <row r="3">
      <c r="A3" s="119">
        <v>2.0</v>
      </c>
      <c r="B3" s="120"/>
      <c r="C3" s="121"/>
      <c r="D3" s="120"/>
      <c r="E3" s="122">
        <f t="shared" ref="E3:E6" si="1">C3+E2</f>
        <v>0</v>
      </c>
    </row>
    <row r="4">
      <c r="A4" s="115">
        <v>3.0</v>
      </c>
      <c r="B4" s="116"/>
      <c r="C4" s="123"/>
      <c r="D4" s="116"/>
      <c r="E4" s="124">
        <f t="shared" si="1"/>
        <v>0</v>
      </c>
    </row>
    <row r="5">
      <c r="A5" s="119">
        <v>4.0</v>
      </c>
      <c r="B5" s="120" t="s">
        <v>381</v>
      </c>
      <c r="C5" s="125">
        <v>500.0</v>
      </c>
      <c r="D5" s="120"/>
      <c r="E5" s="122">
        <f t="shared" si="1"/>
        <v>500</v>
      </c>
    </row>
    <row r="6">
      <c r="A6" s="115">
        <v>4.0</v>
      </c>
      <c r="B6" s="116" t="s">
        <v>382</v>
      </c>
      <c r="C6" s="117">
        <v>190.0</v>
      </c>
      <c r="D6" s="117"/>
      <c r="E6" s="124">
        <f t="shared" si="1"/>
        <v>690</v>
      </c>
    </row>
    <row r="7">
      <c r="A7" s="126">
        <v>5.0</v>
      </c>
      <c r="B7" s="127" t="s">
        <v>383</v>
      </c>
      <c r="C7" s="128">
        <v>627.31</v>
      </c>
      <c r="D7" s="129"/>
      <c r="E7" s="130"/>
    </row>
    <row r="8">
      <c r="A8" s="119">
        <v>5.0</v>
      </c>
      <c r="B8" s="131" t="s">
        <v>384</v>
      </c>
      <c r="C8" s="132">
        <v>101.99</v>
      </c>
      <c r="D8" s="120"/>
      <c r="E8" s="122">
        <f>C8+E6</f>
        <v>791.99</v>
      </c>
    </row>
    <row r="9">
      <c r="A9" s="115">
        <v>5.0</v>
      </c>
      <c r="B9" s="116" t="s">
        <v>385</v>
      </c>
      <c r="C9" s="117">
        <v>30.95</v>
      </c>
      <c r="D9" s="117"/>
      <c r="E9" s="124">
        <f t="shared" ref="E9:E17" si="2">C9+E8</f>
        <v>822.94</v>
      </c>
    </row>
    <row r="10">
      <c r="A10" s="119">
        <v>6.0</v>
      </c>
      <c r="B10" s="120" t="s">
        <v>386</v>
      </c>
      <c r="C10" s="125">
        <v>43.0</v>
      </c>
      <c r="D10" s="120"/>
      <c r="E10" s="122">
        <f t="shared" si="2"/>
        <v>865.94</v>
      </c>
    </row>
    <row r="11">
      <c r="A11" s="115">
        <v>7.0</v>
      </c>
      <c r="B11" s="116"/>
      <c r="C11" s="123"/>
      <c r="D11" s="116"/>
      <c r="E11" s="124">
        <f t="shared" si="2"/>
        <v>865.94</v>
      </c>
    </row>
    <row r="12">
      <c r="A12" s="119">
        <v>8.0</v>
      </c>
      <c r="B12" s="120"/>
      <c r="C12" s="121"/>
      <c r="D12" s="120"/>
      <c r="E12" s="122">
        <f t="shared" si="2"/>
        <v>865.94</v>
      </c>
    </row>
    <row r="13">
      <c r="A13" s="115">
        <v>9.0</v>
      </c>
      <c r="B13" s="116"/>
      <c r="C13" s="123"/>
      <c r="D13" s="116"/>
      <c r="E13" s="124">
        <f t="shared" si="2"/>
        <v>865.94</v>
      </c>
    </row>
    <row r="14">
      <c r="A14" s="119">
        <v>10.0</v>
      </c>
      <c r="B14" s="131" t="s">
        <v>387</v>
      </c>
      <c r="C14" s="125">
        <v>840.06</v>
      </c>
      <c r="D14" s="120"/>
      <c r="E14" s="122">
        <f t="shared" si="2"/>
        <v>1706</v>
      </c>
    </row>
    <row r="15">
      <c r="A15" s="115">
        <v>10.0</v>
      </c>
      <c r="B15" s="116" t="s">
        <v>388</v>
      </c>
      <c r="C15" s="117">
        <v>114.0</v>
      </c>
      <c r="D15" s="116"/>
      <c r="E15" s="124">
        <f t="shared" si="2"/>
        <v>1820</v>
      </c>
    </row>
    <row r="16">
      <c r="A16" s="119">
        <v>10.0</v>
      </c>
      <c r="B16" s="120" t="s">
        <v>389</v>
      </c>
      <c r="C16" s="125">
        <v>24.0</v>
      </c>
      <c r="D16" s="120"/>
      <c r="E16" s="122">
        <f t="shared" si="2"/>
        <v>1844</v>
      </c>
    </row>
    <row r="17">
      <c r="A17" s="115">
        <v>10.0</v>
      </c>
      <c r="B17" s="116" t="s">
        <v>390</v>
      </c>
      <c r="C17" s="117">
        <v>29.46</v>
      </c>
      <c r="D17" s="117"/>
      <c r="E17" s="124">
        <f t="shared" si="2"/>
        <v>1873.46</v>
      </c>
    </row>
    <row r="18">
      <c r="A18" s="133">
        <v>10.0</v>
      </c>
      <c r="B18" s="134" t="s">
        <v>391</v>
      </c>
      <c r="C18" s="135">
        <v>140.42</v>
      </c>
      <c r="D18" s="136"/>
      <c r="E18" s="137"/>
    </row>
    <row r="19">
      <c r="A19" s="119">
        <v>11.0</v>
      </c>
      <c r="B19" s="120" t="s">
        <v>392</v>
      </c>
      <c r="C19" s="125">
        <v>270.0</v>
      </c>
      <c r="D19" s="120"/>
      <c r="E19" s="122">
        <f>C19+E17</f>
        <v>2143.46</v>
      </c>
    </row>
    <row r="20">
      <c r="A20" s="115">
        <v>11.0</v>
      </c>
      <c r="B20" s="116" t="s">
        <v>393</v>
      </c>
      <c r="C20" s="117">
        <v>270.0</v>
      </c>
      <c r="D20" s="117"/>
      <c r="E20" s="124">
        <f t="shared" ref="E20:E40" si="3">C20+E19</f>
        <v>2413.46</v>
      </c>
    </row>
    <row r="21">
      <c r="A21" s="119">
        <v>12.0</v>
      </c>
      <c r="B21" s="120"/>
      <c r="C21" s="121"/>
      <c r="D21" s="120"/>
      <c r="E21" s="122">
        <f t="shared" si="3"/>
        <v>2413.46</v>
      </c>
    </row>
    <row r="22">
      <c r="A22" s="115">
        <v>13.0</v>
      </c>
      <c r="B22" s="116"/>
      <c r="C22" s="123"/>
      <c r="D22" s="116"/>
      <c r="E22" s="124">
        <f t="shared" si="3"/>
        <v>2413.46</v>
      </c>
    </row>
    <row r="23">
      <c r="A23" s="119">
        <v>14.0</v>
      </c>
      <c r="B23" s="120"/>
      <c r="C23" s="121"/>
      <c r="D23" s="120"/>
      <c r="E23" s="122">
        <f t="shared" si="3"/>
        <v>2413.46</v>
      </c>
    </row>
    <row r="24">
      <c r="A24" s="115">
        <v>15.0</v>
      </c>
      <c r="B24" s="116" t="s">
        <v>394</v>
      </c>
      <c r="C24" s="117">
        <v>961.09</v>
      </c>
      <c r="D24" s="116"/>
      <c r="E24" s="124">
        <f t="shared" si="3"/>
        <v>3374.55</v>
      </c>
    </row>
    <row r="25">
      <c r="A25" s="119">
        <v>16.0</v>
      </c>
      <c r="B25" s="120"/>
      <c r="C25" s="121"/>
      <c r="D25" s="120"/>
      <c r="E25" s="122">
        <f t="shared" si="3"/>
        <v>3374.55</v>
      </c>
    </row>
    <row r="26">
      <c r="A26" s="115">
        <v>17.0</v>
      </c>
      <c r="B26" s="116"/>
      <c r="C26" s="123"/>
      <c r="D26" s="116"/>
      <c r="E26" s="124">
        <f t="shared" si="3"/>
        <v>3374.55</v>
      </c>
    </row>
    <row r="27">
      <c r="A27" s="119">
        <v>18.0</v>
      </c>
      <c r="B27" s="120" t="s">
        <v>395</v>
      </c>
      <c r="C27" s="125">
        <v>650.0</v>
      </c>
      <c r="D27" s="120"/>
      <c r="E27" s="122">
        <f t="shared" si="3"/>
        <v>4024.55</v>
      </c>
    </row>
    <row r="28">
      <c r="A28" s="115">
        <v>19.0</v>
      </c>
      <c r="B28" s="116"/>
      <c r="C28" s="123"/>
      <c r="D28" s="116"/>
      <c r="E28" s="124">
        <f t="shared" si="3"/>
        <v>4024.55</v>
      </c>
    </row>
    <row r="29">
      <c r="A29" s="119">
        <v>20.0</v>
      </c>
      <c r="B29" s="120" t="s">
        <v>396</v>
      </c>
      <c r="C29" s="125">
        <v>134.17</v>
      </c>
      <c r="D29" s="120"/>
      <c r="E29" s="122">
        <f t="shared" si="3"/>
        <v>4158.72</v>
      </c>
    </row>
    <row r="30">
      <c r="A30" s="115">
        <v>21.0</v>
      </c>
      <c r="B30" s="116"/>
      <c r="C30" s="123"/>
      <c r="D30" s="116"/>
      <c r="E30" s="124">
        <f t="shared" si="3"/>
        <v>4158.72</v>
      </c>
    </row>
    <row r="31">
      <c r="A31" s="119">
        <v>22.0</v>
      </c>
      <c r="B31" s="120"/>
      <c r="C31" s="121"/>
      <c r="D31" s="120"/>
      <c r="E31" s="122">
        <f t="shared" si="3"/>
        <v>4158.72</v>
      </c>
    </row>
    <row r="32">
      <c r="A32" s="115">
        <v>23.0</v>
      </c>
      <c r="B32" s="116"/>
      <c r="C32" s="123"/>
      <c r="D32" s="116"/>
      <c r="E32" s="124">
        <f t="shared" si="3"/>
        <v>4158.72</v>
      </c>
    </row>
    <row r="33">
      <c r="A33" s="119">
        <v>24.0</v>
      </c>
      <c r="B33" s="120"/>
      <c r="C33" s="121"/>
      <c r="D33" s="120"/>
      <c r="E33" s="122">
        <f t="shared" si="3"/>
        <v>4158.72</v>
      </c>
    </row>
    <row r="34">
      <c r="A34" s="115">
        <v>25.0</v>
      </c>
      <c r="B34" s="116"/>
      <c r="C34" s="123"/>
      <c r="D34" s="116"/>
      <c r="E34" s="124">
        <f t="shared" si="3"/>
        <v>4158.72</v>
      </c>
    </row>
    <row r="35">
      <c r="A35" s="119">
        <v>26.0</v>
      </c>
      <c r="B35" s="120"/>
      <c r="C35" s="121"/>
      <c r="D35" s="120"/>
      <c r="E35" s="122">
        <f t="shared" si="3"/>
        <v>4158.72</v>
      </c>
    </row>
    <row r="36">
      <c r="A36" s="115">
        <v>27.0</v>
      </c>
      <c r="B36" s="116"/>
      <c r="C36" s="123"/>
      <c r="D36" s="116"/>
      <c r="E36" s="124">
        <f t="shared" si="3"/>
        <v>4158.72</v>
      </c>
    </row>
    <row r="37">
      <c r="A37" s="119">
        <v>28.0</v>
      </c>
      <c r="B37" s="120"/>
      <c r="C37" s="121"/>
      <c r="D37" s="120"/>
      <c r="E37" s="122">
        <f t="shared" si="3"/>
        <v>4158.72</v>
      </c>
    </row>
    <row r="38">
      <c r="A38" s="115">
        <v>29.0</v>
      </c>
      <c r="B38" s="116"/>
      <c r="C38" s="123"/>
      <c r="D38" s="116"/>
      <c r="E38" s="124">
        <f t="shared" si="3"/>
        <v>4158.72</v>
      </c>
    </row>
    <row r="39">
      <c r="A39" s="119">
        <v>30.0</v>
      </c>
      <c r="B39" s="120"/>
      <c r="C39" s="121"/>
      <c r="D39" s="120"/>
      <c r="E39" s="122">
        <f t="shared" si="3"/>
        <v>4158.72</v>
      </c>
    </row>
    <row r="40">
      <c r="A40" s="115">
        <v>31.0</v>
      </c>
      <c r="B40" s="116"/>
      <c r="C40" s="123"/>
      <c r="D40" s="116"/>
      <c r="E40" s="124">
        <f t="shared" si="3"/>
        <v>4158.72</v>
      </c>
    </row>
  </sheetData>
  <dataValidations>
    <dataValidation type="custom" allowBlank="1" showDropDown="1" sqref="C2:C4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16.75"/>
    <col customWidth="1" min="3" max="8" width="13.88"/>
  </cols>
  <sheetData>
    <row r="1" ht="33.0" customHeight="1">
      <c r="A1" s="138" t="s">
        <v>397</v>
      </c>
      <c r="B1" s="139">
        <v>46011.0</v>
      </c>
      <c r="C1" s="140" t="b">
        <v>0</v>
      </c>
      <c r="D1" s="141" t="s">
        <v>398</v>
      </c>
    </row>
    <row r="2" ht="34.5" customHeight="1">
      <c r="A2" s="138" t="s">
        <v>399</v>
      </c>
      <c r="B2" s="139">
        <v>46018.0</v>
      </c>
    </row>
    <row r="3">
      <c r="A3" s="142"/>
      <c r="F3" s="142"/>
    </row>
    <row r="4" ht="27.0" customHeight="1">
      <c r="A4" s="143" t="s">
        <v>400</v>
      </c>
      <c r="B4" s="144"/>
      <c r="C4" s="144"/>
      <c r="D4" s="144"/>
      <c r="E4" s="144"/>
      <c r="F4" s="144"/>
      <c r="G4" s="145">
        <v>46011.0</v>
      </c>
      <c r="H4" s="145">
        <v>46012.0</v>
      </c>
    </row>
    <row r="5" ht="36.0" customHeight="1">
      <c r="A5" s="146" t="s">
        <v>401</v>
      </c>
      <c r="B5" s="147"/>
      <c r="C5" s="147"/>
      <c r="D5" s="147"/>
      <c r="E5" s="147"/>
      <c r="F5" s="148"/>
      <c r="G5" s="148"/>
      <c r="H5" s="149" t="s">
        <v>110</v>
      </c>
    </row>
    <row r="6" ht="36.0" customHeight="1">
      <c r="A6" s="146" t="s">
        <v>402</v>
      </c>
      <c r="B6" s="147"/>
      <c r="C6" s="147"/>
      <c r="D6" s="148"/>
      <c r="E6" s="147"/>
      <c r="F6" s="147"/>
      <c r="G6" s="150" t="s">
        <v>132</v>
      </c>
      <c r="H6" s="151"/>
    </row>
    <row r="7" ht="36.0" customHeight="1">
      <c r="A7" s="146" t="s">
        <v>403</v>
      </c>
      <c r="B7" s="148"/>
      <c r="C7" s="147"/>
      <c r="D7" s="147"/>
      <c r="E7" s="147"/>
      <c r="F7" s="148"/>
      <c r="G7" s="148"/>
      <c r="H7" s="152" t="s">
        <v>308</v>
      </c>
    </row>
    <row r="8" ht="36.0" customHeight="1">
      <c r="A8" s="146" t="s">
        <v>404</v>
      </c>
      <c r="B8" s="147"/>
      <c r="C8" s="147"/>
      <c r="D8" s="147"/>
      <c r="E8" s="147"/>
      <c r="F8" s="148"/>
      <c r="G8" s="153" t="s">
        <v>374</v>
      </c>
      <c r="H8" s="148"/>
    </row>
    <row r="10" ht="27.0" customHeight="1">
      <c r="A10" s="143" t="s">
        <v>405</v>
      </c>
      <c r="B10" s="145">
        <v>46013.0</v>
      </c>
      <c r="C10" s="145">
        <v>46014.0</v>
      </c>
      <c r="D10" s="145">
        <v>46015.0</v>
      </c>
      <c r="E10" s="145">
        <v>46016.0</v>
      </c>
      <c r="F10" s="145">
        <v>46017.0</v>
      </c>
      <c r="G10" s="145">
        <v>46018.0</v>
      </c>
      <c r="H10" s="144"/>
    </row>
    <row r="11" ht="36.0" customHeight="1">
      <c r="A11" s="146" t="s">
        <v>401</v>
      </c>
      <c r="B11" s="149" t="s">
        <v>110</v>
      </c>
      <c r="C11" s="154"/>
      <c r="D11" s="149"/>
      <c r="E11" s="147"/>
      <c r="F11" s="147"/>
      <c r="G11" s="147"/>
      <c r="H11" s="148"/>
    </row>
    <row r="12" ht="36.0" customHeight="1">
      <c r="A12" s="146" t="s">
        <v>402</v>
      </c>
      <c r="B12" s="150" t="s">
        <v>132</v>
      </c>
      <c r="C12" s="151"/>
      <c r="D12" s="151"/>
      <c r="E12" s="151"/>
      <c r="F12" s="151"/>
      <c r="G12" s="151"/>
      <c r="H12" s="148"/>
    </row>
    <row r="13" ht="36.0" customHeight="1">
      <c r="A13" s="146" t="s">
        <v>403</v>
      </c>
      <c r="B13" s="152" t="s">
        <v>308</v>
      </c>
      <c r="C13" s="155"/>
      <c r="D13" s="155"/>
      <c r="E13" s="153" t="s">
        <v>310</v>
      </c>
      <c r="F13" s="153"/>
      <c r="G13" s="156"/>
      <c r="H13" s="147"/>
    </row>
    <row r="14" ht="36.0" customHeight="1">
      <c r="A14" s="146" t="s">
        <v>404</v>
      </c>
      <c r="B14" s="148"/>
      <c r="C14" s="147"/>
      <c r="D14" s="147"/>
      <c r="E14" s="147"/>
      <c r="F14" s="147"/>
      <c r="G14" s="147"/>
      <c r="H14" s="147"/>
    </row>
    <row r="16" ht="27.0" customHeight="1">
      <c r="A16" s="157"/>
      <c r="B16" s="158"/>
      <c r="C16" s="158"/>
      <c r="D16" s="158"/>
      <c r="E16" s="158"/>
      <c r="F16" s="158"/>
      <c r="G16" s="158"/>
      <c r="H16" s="158"/>
    </row>
    <row r="17" ht="36.0" customHeight="1">
      <c r="A17" s="159"/>
      <c r="B17" s="148"/>
      <c r="C17" s="147"/>
      <c r="D17" s="147"/>
      <c r="E17" s="148"/>
      <c r="F17" s="147"/>
      <c r="G17" s="148"/>
      <c r="H17" s="147"/>
    </row>
    <row r="18" ht="36.0" customHeight="1">
      <c r="A18" s="159"/>
      <c r="B18" s="148"/>
      <c r="C18" s="147"/>
      <c r="D18" s="147"/>
      <c r="E18" s="147"/>
      <c r="F18" s="147"/>
      <c r="G18" s="147"/>
      <c r="H18" s="147"/>
    </row>
    <row r="19" ht="36.0" customHeight="1">
      <c r="A19" s="159"/>
      <c r="B19" s="148"/>
      <c r="C19" s="147"/>
      <c r="D19" s="147"/>
      <c r="E19" s="147"/>
      <c r="F19" s="147"/>
      <c r="G19" s="147"/>
      <c r="H19" s="147"/>
    </row>
    <row r="20" ht="36.0" customHeight="1">
      <c r="A20" s="159"/>
      <c r="B20" s="148"/>
      <c r="C20" s="147"/>
      <c r="D20" s="148"/>
      <c r="E20" s="148"/>
      <c r="F20" s="147"/>
      <c r="G20" s="147"/>
      <c r="H20" s="147"/>
    </row>
    <row r="22" ht="27.0" customHeight="1">
      <c r="A22" s="160"/>
      <c r="B22" s="161"/>
      <c r="C22" s="161"/>
      <c r="D22" s="161"/>
      <c r="E22" s="161"/>
      <c r="F22" s="161"/>
      <c r="G22" s="161"/>
      <c r="H22" s="161"/>
    </row>
    <row r="23" ht="36.0" customHeight="1">
      <c r="A23" s="162"/>
      <c r="B23" s="147"/>
      <c r="C23" s="147"/>
      <c r="D23" s="147"/>
      <c r="E23" s="147"/>
      <c r="F23" s="147"/>
      <c r="G23" s="147"/>
      <c r="H23" s="147"/>
    </row>
    <row r="24" ht="36.0" customHeight="1">
      <c r="A24" s="162"/>
      <c r="B24" s="147"/>
      <c r="C24" s="148"/>
      <c r="D24" s="147"/>
      <c r="E24" s="147"/>
      <c r="F24" s="147"/>
      <c r="G24" s="147"/>
      <c r="H24" s="147"/>
    </row>
    <row r="25" ht="36.0" customHeight="1">
      <c r="A25" s="162"/>
      <c r="B25" s="147"/>
      <c r="C25" s="147"/>
      <c r="D25" s="147"/>
      <c r="E25" s="147"/>
      <c r="F25" s="147"/>
      <c r="G25" s="147"/>
      <c r="H25" s="147"/>
    </row>
    <row r="26" ht="36.0" customHeight="1">
      <c r="A26" s="162"/>
      <c r="B26" s="147"/>
      <c r="C26" s="147"/>
      <c r="D26" s="147"/>
      <c r="E26" s="147"/>
      <c r="F26" s="148"/>
      <c r="G26" s="147"/>
      <c r="H26" s="147"/>
    </row>
  </sheetData>
  <mergeCells count="2">
    <mergeCell ref="C1:C2"/>
    <mergeCell ref="D1:E2"/>
  </mergeCells>
  <dataValidations>
    <dataValidation type="custom" allowBlank="1" showDropDown="1" showErrorMessage="1" sqref="B1:B2">
      <formula1>OR(NOT(ISERROR(DATEVALUE(B1))), AND(ISNUMBER(B1), LEFT(CELL("format", B1))="D"))</formula1>
    </dataValidation>
  </dataValidations>
  <drawing r:id="rId2"/>
  <legacyDrawing r:id="rId3"/>
</worksheet>
</file>